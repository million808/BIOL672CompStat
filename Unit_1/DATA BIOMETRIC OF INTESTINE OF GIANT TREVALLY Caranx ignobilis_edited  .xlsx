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cin71/Documents/MY Documents/Draft paper/Firdus/"/>
    </mc:Choice>
  </mc:AlternateContent>
  <xr:revisionPtr revIDLastSave="0" documentId="8_{E65A017D-8106-444A-BFFE-79A373BE30B0}" xr6:coauthVersionLast="36" xr6:coauthVersionMax="36" xr10:uidLastSave="{00000000-0000-0000-0000-000000000000}"/>
  <bookViews>
    <workbookView xWindow="0" yWindow="0" windowWidth="28800" windowHeight="18000" xr2:uid="{00000000-000D-0000-FFFF-FFFF00000000}"/>
  </bookViews>
  <sheets>
    <sheet name="INTESTINAL VILLI" sheetId="2" r:id="rId1"/>
  </sheets>
  <calcPr calcId="181029"/>
</workbook>
</file>

<file path=xl/calcChain.xml><?xml version="1.0" encoding="utf-8"?>
<calcChain xmlns="http://schemas.openxmlformats.org/spreadsheetml/2006/main">
  <c r="T10" i="2" l="1"/>
  <c r="T15" i="2"/>
  <c r="T20" i="2"/>
  <c r="T25" i="2"/>
  <c r="T30" i="2"/>
  <c r="T35" i="2"/>
  <c r="T40" i="2"/>
  <c r="T45" i="2"/>
  <c r="T50" i="2"/>
  <c r="T55" i="2"/>
  <c r="T60" i="2"/>
  <c r="T65" i="2"/>
  <c r="T70" i="2"/>
  <c r="T75" i="2"/>
  <c r="T80" i="2"/>
  <c r="T85" i="2"/>
  <c r="T90" i="2"/>
  <c r="T95" i="2"/>
  <c r="T100" i="2"/>
  <c r="T105" i="2"/>
  <c r="T110" i="2"/>
  <c r="T115" i="2"/>
  <c r="T120" i="2"/>
  <c r="T125" i="2"/>
  <c r="T130" i="2"/>
  <c r="T135" i="2"/>
  <c r="T140" i="2"/>
  <c r="T145" i="2"/>
  <c r="T150" i="2"/>
  <c r="T155" i="2"/>
  <c r="T160" i="2"/>
  <c r="T165" i="2"/>
  <c r="T170" i="2"/>
  <c r="T175" i="2"/>
  <c r="T180" i="2"/>
  <c r="T185" i="2"/>
  <c r="T190" i="2"/>
  <c r="T195" i="2"/>
  <c r="T200" i="2"/>
  <c r="T205" i="2"/>
  <c r="T210" i="2"/>
  <c r="T215" i="2"/>
  <c r="T220" i="2"/>
  <c r="T225" i="2"/>
  <c r="T230" i="2"/>
  <c r="T235" i="2"/>
  <c r="T240" i="2"/>
  <c r="T245" i="2"/>
  <c r="T250" i="2"/>
  <c r="T255" i="2"/>
  <c r="T260" i="2"/>
  <c r="T265" i="2"/>
  <c r="T270" i="2"/>
  <c r="T275" i="2"/>
  <c r="T280" i="2"/>
  <c r="T285" i="2"/>
  <c r="T290" i="2"/>
  <c r="T295" i="2"/>
  <c r="T300" i="2"/>
  <c r="T305" i="2"/>
  <c r="T310" i="2"/>
  <c r="T315" i="2"/>
  <c r="T320" i="2"/>
  <c r="T325" i="2"/>
  <c r="T330" i="2"/>
  <c r="T335" i="2"/>
  <c r="T340" i="2"/>
  <c r="T345" i="2"/>
  <c r="T350" i="2"/>
  <c r="T355" i="2"/>
  <c r="T360" i="2"/>
  <c r="T365" i="2"/>
  <c r="T370" i="2"/>
  <c r="T375" i="2"/>
  <c r="T380" i="2"/>
  <c r="T385" i="2"/>
  <c r="T390" i="2"/>
  <c r="T395" i="2"/>
  <c r="T400" i="2"/>
  <c r="T405" i="2"/>
  <c r="T410" i="2"/>
  <c r="T415" i="2"/>
  <c r="T420" i="2"/>
  <c r="T425" i="2"/>
  <c r="T430" i="2"/>
  <c r="T435" i="2"/>
  <c r="T440" i="2"/>
  <c r="T445" i="2"/>
  <c r="T450" i="2"/>
  <c r="T455" i="2"/>
  <c r="T460" i="2"/>
  <c r="T465" i="2"/>
  <c r="T470" i="2"/>
  <c r="T475" i="2"/>
  <c r="T480" i="2"/>
  <c r="T485" i="2"/>
  <c r="T490" i="2"/>
  <c r="T495" i="2"/>
  <c r="T500" i="2"/>
  <c r="T505" i="2"/>
  <c r="T510" i="2"/>
  <c r="T515" i="2"/>
  <c r="T520" i="2"/>
  <c r="T525" i="2"/>
  <c r="T530" i="2"/>
  <c r="T535" i="2"/>
  <c r="T540" i="2"/>
  <c r="T545" i="2"/>
  <c r="T550" i="2"/>
  <c r="T555" i="2"/>
  <c r="T560" i="2"/>
  <c r="T565" i="2"/>
  <c r="T570" i="2"/>
  <c r="T575" i="2"/>
  <c r="T580" i="2"/>
  <c r="T585" i="2"/>
  <c r="T590" i="2"/>
  <c r="T595" i="2"/>
  <c r="T600" i="2"/>
  <c r="T5" i="2"/>
  <c r="Q10" i="2"/>
  <c r="Q15" i="2"/>
  <c r="Q20" i="2"/>
  <c r="Q25" i="2"/>
  <c r="Q30" i="2"/>
  <c r="Q35" i="2"/>
  <c r="Q40" i="2"/>
  <c r="Q45" i="2"/>
  <c r="Q50" i="2"/>
  <c r="Q55" i="2"/>
  <c r="Q60" i="2"/>
  <c r="Q65" i="2"/>
  <c r="Q70" i="2"/>
  <c r="Q75" i="2"/>
  <c r="Q80" i="2"/>
  <c r="Q85" i="2"/>
  <c r="Q90" i="2"/>
  <c r="Q95" i="2"/>
  <c r="Q100" i="2"/>
  <c r="Q105" i="2"/>
  <c r="Q110" i="2"/>
  <c r="Q115" i="2"/>
  <c r="Q120" i="2"/>
  <c r="Q125" i="2"/>
  <c r="Q130" i="2"/>
  <c r="Q135" i="2"/>
  <c r="Q140" i="2"/>
  <c r="Q145" i="2"/>
  <c r="Q150" i="2"/>
  <c r="Q155" i="2"/>
  <c r="Q160" i="2"/>
  <c r="Q165" i="2"/>
  <c r="Q170" i="2"/>
  <c r="Q175" i="2"/>
  <c r="Q180" i="2"/>
  <c r="Q185" i="2"/>
  <c r="Q190" i="2"/>
  <c r="Q195" i="2"/>
  <c r="Q200" i="2"/>
  <c r="Q205" i="2"/>
  <c r="Q210" i="2"/>
  <c r="Q215" i="2"/>
  <c r="Q220" i="2"/>
  <c r="Q225" i="2"/>
  <c r="Q230" i="2"/>
  <c r="Q235" i="2"/>
  <c r="Q240" i="2"/>
  <c r="Q245" i="2"/>
  <c r="Q250" i="2"/>
  <c r="Q255" i="2"/>
  <c r="Q260" i="2"/>
  <c r="Q265" i="2"/>
  <c r="Q270" i="2"/>
  <c r="Q275" i="2"/>
  <c r="Q280" i="2"/>
  <c r="Q285" i="2"/>
  <c r="Q290" i="2"/>
  <c r="Q295" i="2"/>
  <c r="Q300" i="2"/>
  <c r="Q305" i="2"/>
  <c r="Q310" i="2"/>
  <c r="Q315" i="2"/>
  <c r="Q320" i="2"/>
  <c r="Q325" i="2"/>
  <c r="Q330" i="2"/>
  <c r="Q335" i="2"/>
  <c r="Q340" i="2"/>
  <c r="Q345" i="2"/>
  <c r="Q350" i="2"/>
  <c r="Q355" i="2"/>
  <c r="Q360" i="2"/>
  <c r="Q365" i="2"/>
  <c r="Q370" i="2"/>
  <c r="Q375" i="2"/>
  <c r="Q380" i="2"/>
  <c r="Q385" i="2"/>
  <c r="Q390" i="2"/>
  <c r="Q395" i="2"/>
  <c r="Q400" i="2"/>
  <c r="Q405" i="2"/>
  <c r="Q410" i="2"/>
  <c r="Q415" i="2"/>
  <c r="Q420" i="2"/>
  <c r="Q425" i="2"/>
  <c r="Q430" i="2"/>
  <c r="Q435" i="2"/>
  <c r="Q440" i="2"/>
  <c r="Q445" i="2"/>
  <c r="Q450" i="2"/>
  <c r="Q455" i="2"/>
  <c r="Q460" i="2"/>
  <c r="Q465" i="2"/>
  <c r="Q470" i="2"/>
  <c r="Q475" i="2"/>
  <c r="Q480" i="2"/>
  <c r="Q485" i="2"/>
  <c r="Q490" i="2"/>
  <c r="Q495" i="2"/>
  <c r="Q500" i="2"/>
  <c r="Q505" i="2"/>
  <c r="Q510" i="2"/>
  <c r="Q515" i="2"/>
  <c r="Q520" i="2"/>
  <c r="Q525" i="2"/>
  <c r="Q530" i="2"/>
  <c r="Q535" i="2"/>
  <c r="Q540" i="2"/>
  <c r="Q545" i="2"/>
  <c r="Q550" i="2"/>
  <c r="Q555" i="2"/>
  <c r="Q560" i="2"/>
  <c r="Q565" i="2"/>
  <c r="Q570" i="2"/>
  <c r="Q575" i="2"/>
  <c r="Q580" i="2"/>
  <c r="Q585" i="2"/>
  <c r="Q590" i="2"/>
  <c r="Q595" i="2"/>
  <c r="Q600" i="2"/>
  <c r="Q5" i="2"/>
  <c r="I10" i="2"/>
  <c r="I15" i="2"/>
  <c r="I20" i="2"/>
  <c r="I25" i="2"/>
  <c r="I30" i="2"/>
  <c r="I35" i="2"/>
  <c r="I40" i="2"/>
  <c r="I45" i="2"/>
  <c r="I50" i="2"/>
  <c r="I55" i="2"/>
  <c r="I60" i="2"/>
  <c r="I65" i="2"/>
  <c r="I70" i="2"/>
  <c r="I75" i="2"/>
  <c r="I80" i="2"/>
  <c r="I85" i="2"/>
  <c r="I90" i="2"/>
  <c r="I95" i="2"/>
  <c r="I100" i="2"/>
  <c r="I105" i="2"/>
  <c r="I110" i="2"/>
  <c r="I115" i="2"/>
  <c r="I120" i="2"/>
  <c r="I125" i="2"/>
  <c r="I130" i="2"/>
  <c r="I135" i="2"/>
  <c r="I140" i="2"/>
  <c r="I145" i="2"/>
  <c r="I150" i="2"/>
  <c r="I155" i="2"/>
  <c r="I160" i="2"/>
  <c r="I165" i="2"/>
  <c r="I170" i="2"/>
  <c r="I175" i="2"/>
  <c r="I180" i="2"/>
  <c r="I185" i="2"/>
  <c r="I190" i="2"/>
  <c r="I195" i="2"/>
  <c r="I200" i="2"/>
  <c r="I205" i="2"/>
  <c r="I210" i="2"/>
  <c r="I215" i="2"/>
  <c r="I220" i="2"/>
  <c r="I225" i="2"/>
  <c r="I230" i="2"/>
  <c r="I235" i="2"/>
  <c r="I240" i="2"/>
  <c r="I245" i="2"/>
  <c r="I250" i="2"/>
  <c r="I255" i="2"/>
  <c r="I260" i="2"/>
  <c r="I265" i="2"/>
  <c r="I270" i="2"/>
  <c r="I275" i="2"/>
  <c r="I280" i="2"/>
  <c r="I285" i="2"/>
  <c r="I290" i="2"/>
  <c r="I295" i="2"/>
  <c r="I300" i="2"/>
  <c r="I305" i="2"/>
  <c r="I310" i="2"/>
  <c r="I315" i="2"/>
  <c r="I320" i="2"/>
  <c r="I325" i="2"/>
  <c r="I330" i="2"/>
  <c r="I335" i="2"/>
  <c r="I340" i="2"/>
  <c r="I345" i="2"/>
  <c r="I350" i="2"/>
  <c r="I355" i="2"/>
  <c r="I360" i="2"/>
  <c r="I365" i="2"/>
  <c r="I370" i="2"/>
  <c r="I375" i="2"/>
  <c r="I380" i="2"/>
  <c r="I385" i="2"/>
  <c r="I390" i="2"/>
  <c r="I395" i="2"/>
  <c r="I400" i="2"/>
  <c r="I405" i="2"/>
  <c r="I410" i="2"/>
  <c r="I415" i="2"/>
  <c r="I420" i="2"/>
  <c r="I425" i="2"/>
  <c r="I430" i="2"/>
  <c r="I435" i="2"/>
  <c r="I440" i="2"/>
  <c r="I445" i="2"/>
  <c r="I450" i="2"/>
  <c r="I455" i="2"/>
  <c r="I460" i="2"/>
  <c r="I465" i="2"/>
  <c r="I470" i="2"/>
  <c r="I475" i="2"/>
  <c r="I480" i="2"/>
  <c r="I485" i="2"/>
  <c r="I490" i="2"/>
  <c r="I495" i="2"/>
  <c r="I500" i="2"/>
  <c r="I505" i="2"/>
  <c r="I510" i="2"/>
  <c r="I515" i="2"/>
  <c r="I520" i="2"/>
  <c r="I525" i="2"/>
  <c r="I530" i="2"/>
  <c r="I535" i="2"/>
  <c r="I540" i="2"/>
  <c r="I545" i="2"/>
  <c r="I550" i="2"/>
  <c r="I555" i="2"/>
  <c r="I560" i="2"/>
  <c r="I565" i="2"/>
  <c r="I570" i="2"/>
  <c r="I575" i="2"/>
  <c r="I580" i="2"/>
  <c r="I585" i="2"/>
  <c r="I590" i="2"/>
  <c r="I595" i="2"/>
  <c r="I600" i="2"/>
  <c r="I605" i="2"/>
  <c r="I610" i="2"/>
  <c r="I615" i="2"/>
  <c r="I620" i="2"/>
  <c r="I625" i="2"/>
  <c r="I630" i="2"/>
  <c r="I635" i="2"/>
  <c r="I640" i="2"/>
  <c r="I645" i="2"/>
  <c r="I650" i="2"/>
  <c r="I655" i="2"/>
  <c r="I660" i="2"/>
  <c r="I665" i="2"/>
  <c r="I670" i="2"/>
  <c r="I675" i="2"/>
  <c r="I680" i="2"/>
  <c r="I685" i="2"/>
  <c r="I690" i="2"/>
  <c r="I695" i="2"/>
  <c r="I700" i="2"/>
  <c r="I705" i="2"/>
  <c r="I710" i="2"/>
  <c r="I715" i="2"/>
  <c r="I720" i="2"/>
  <c r="I725" i="2"/>
  <c r="I730" i="2"/>
  <c r="I735" i="2"/>
  <c r="I740" i="2"/>
  <c r="I745" i="2"/>
  <c r="I750" i="2"/>
  <c r="I755" i="2"/>
  <c r="I760" i="2"/>
  <c r="I765" i="2"/>
  <c r="I770" i="2"/>
  <c r="I775" i="2"/>
  <c r="I780" i="2"/>
  <c r="I785" i="2"/>
  <c r="I790" i="2"/>
  <c r="I795" i="2"/>
  <c r="I800" i="2"/>
  <c r="I805" i="2"/>
  <c r="I810" i="2"/>
  <c r="I815" i="2"/>
  <c r="I820" i="2"/>
  <c r="I825" i="2"/>
  <c r="I830" i="2"/>
  <c r="I835" i="2"/>
  <c r="I840" i="2"/>
  <c r="I845" i="2"/>
  <c r="I850" i="2"/>
  <c r="I855" i="2"/>
  <c r="I860" i="2"/>
  <c r="I865" i="2"/>
  <c r="I870" i="2"/>
  <c r="I875" i="2"/>
  <c r="I880" i="2"/>
  <c r="I885" i="2"/>
  <c r="I890" i="2"/>
  <c r="I895" i="2"/>
  <c r="I900" i="2"/>
  <c r="I5" i="2"/>
  <c r="U580" i="2" l="1"/>
  <c r="U555" i="2"/>
  <c r="U480" i="2"/>
  <c r="U455" i="2"/>
  <c r="U380" i="2"/>
  <c r="U355" i="2"/>
  <c r="U280" i="2"/>
  <c r="U255" i="2"/>
  <c r="U180" i="2"/>
  <c r="U155" i="2"/>
  <c r="U80" i="2"/>
  <c r="U55" i="2"/>
  <c r="R530" i="2"/>
  <c r="R430" i="2"/>
  <c r="R330" i="2"/>
  <c r="R230" i="2"/>
  <c r="R130" i="2"/>
  <c r="R30" i="2"/>
  <c r="U5" i="2"/>
  <c r="U530" i="2"/>
  <c r="U505" i="2"/>
  <c r="U430" i="2"/>
  <c r="U405" i="2"/>
  <c r="U330" i="2"/>
  <c r="U305" i="2"/>
  <c r="U230" i="2"/>
  <c r="U205" i="2"/>
  <c r="U130" i="2"/>
  <c r="U105" i="2"/>
  <c r="U30" i="2"/>
  <c r="R505" i="2"/>
  <c r="R405" i="2"/>
  <c r="R305" i="2"/>
  <c r="R205" i="2"/>
  <c r="R105" i="2"/>
  <c r="R5" i="2"/>
  <c r="R280" i="2"/>
  <c r="R180" i="2"/>
  <c r="R80" i="2"/>
  <c r="R55" i="2"/>
  <c r="R555" i="2"/>
  <c r="R455" i="2"/>
  <c r="R355" i="2"/>
  <c r="R255" i="2"/>
  <c r="R580" i="2"/>
  <c r="R480" i="2"/>
  <c r="R380" i="2"/>
  <c r="R155" i="2"/>
  <c r="J855" i="2"/>
  <c r="J755" i="2"/>
  <c r="J880" i="2"/>
  <c r="J805" i="2"/>
  <c r="J780" i="2"/>
  <c r="J705" i="2"/>
  <c r="J680" i="2"/>
  <c r="J605" i="2"/>
  <c r="J580" i="2"/>
  <c r="J505" i="2"/>
  <c r="J480" i="2"/>
  <c r="J405" i="2"/>
  <c r="J380" i="2"/>
  <c r="J305" i="2"/>
  <c r="J280" i="2"/>
  <c r="J205" i="2"/>
  <c r="J180" i="2"/>
  <c r="J105" i="2"/>
  <c r="J80" i="2"/>
  <c r="J5" i="2"/>
  <c r="J655" i="2"/>
  <c r="J555" i="2"/>
  <c r="J455" i="2"/>
  <c r="J355" i="2"/>
  <c r="J255" i="2"/>
  <c r="J155" i="2"/>
  <c r="J55" i="2"/>
  <c r="J830" i="2"/>
  <c r="J730" i="2"/>
  <c r="J630" i="2"/>
  <c r="J530" i="2"/>
  <c r="J430" i="2"/>
  <c r="J330" i="2"/>
  <c r="J230" i="2"/>
  <c r="J130" i="2"/>
  <c r="J30" i="2"/>
  <c r="F20" i="2" l="1"/>
  <c r="F25" i="2"/>
  <c r="F30" i="2"/>
  <c r="F35" i="2"/>
  <c r="F40" i="2"/>
  <c r="F45" i="2"/>
  <c r="F50" i="2"/>
  <c r="F55" i="2"/>
  <c r="F60" i="2"/>
  <c r="F65" i="2"/>
  <c r="F70" i="2"/>
  <c r="F75" i="2"/>
  <c r="F80" i="2"/>
  <c r="F85" i="2"/>
  <c r="F90" i="2"/>
  <c r="F95" i="2"/>
  <c r="F100" i="2"/>
  <c r="F105" i="2"/>
  <c r="F110" i="2"/>
  <c r="F115" i="2"/>
  <c r="F120" i="2"/>
  <c r="F125" i="2"/>
  <c r="F130" i="2"/>
  <c r="F135" i="2"/>
  <c r="F140" i="2"/>
  <c r="F145" i="2"/>
  <c r="F150" i="2"/>
  <c r="F155" i="2"/>
  <c r="F160" i="2"/>
  <c r="F165" i="2"/>
  <c r="F170" i="2"/>
  <c r="F175" i="2"/>
  <c r="F180" i="2"/>
  <c r="F185" i="2"/>
  <c r="F190" i="2"/>
  <c r="F195" i="2"/>
  <c r="F200" i="2"/>
  <c r="F205" i="2"/>
  <c r="F210" i="2"/>
  <c r="F215" i="2"/>
  <c r="F220" i="2"/>
  <c r="F225" i="2"/>
  <c r="F230" i="2"/>
  <c r="F235" i="2"/>
  <c r="F240" i="2"/>
  <c r="F245" i="2"/>
  <c r="F250" i="2"/>
  <c r="F255" i="2"/>
  <c r="F260" i="2"/>
  <c r="F265" i="2"/>
  <c r="F270" i="2"/>
  <c r="F275" i="2"/>
  <c r="F280" i="2"/>
  <c r="F285" i="2"/>
  <c r="F290" i="2"/>
  <c r="F295" i="2"/>
  <c r="F300" i="2"/>
  <c r="F305" i="2"/>
  <c r="F310" i="2"/>
  <c r="F315" i="2"/>
  <c r="F320" i="2"/>
  <c r="F325" i="2"/>
  <c r="F330" i="2"/>
  <c r="F335" i="2"/>
  <c r="F340" i="2"/>
  <c r="F345" i="2"/>
  <c r="F350" i="2"/>
  <c r="F355" i="2"/>
  <c r="F360" i="2"/>
  <c r="F365" i="2"/>
  <c r="F370" i="2"/>
  <c r="F375" i="2"/>
  <c r="F380" i="2"/>
  <c r="F385" i="2"/>
  <c r="F390" i="2"/>
  <c r="F395" i="2"/>
  <c r="F400" i="2"/>
  <c r="F405" i="2"/>
  <c r="F410" i="2"/>
  <c r="F415" i="2"/>
  <c r="F420" i="2"/>
  <c r="F425" i="2"/>
  <c r="F430" i="2"/>
  <c r="F435" i="2"/>
  <c r="F440" i="2"/>
  <c r="F445" i="2"/>
  <c r="F450" i="2"/>
  <c r="F455" i="2"/>
  <c r="F460" i="2"/>
  <c r="F465" i="2"/>
  <c r="F470" i="2"/>
  <c r="F475" i="2"/>
  <c r="F480" i="2"/>
  <c r="F485" i="2"/>
  <c r="F490" i="2"/>
  <c r="F495" i="2"/>
  <c r="F500" i="2"/>
  <c r="F505" i="2"/>
  <c r="F510" i="2"/>
  <c r="F515" i="2"/>
  <c r="F520" i="2"/>
  <c r="F525" i="2"/>
  <c r="F530" i="2"/>
  <c r="F535" i="2"/>
  <c r="F540" i="2"/>
  <c r="F545" i="2"/>
  <c r="F550" i="2"/>
  <c r="F555" i="2"/>
  <c r="F560" i="2"/>
  <c r="F565" i="2"/>
  <c r="F570" i="2"/>
  <c r="F575" i="2"/>
  <c r="F580" i="2"/>
  <c r="F585" i="2"/>
  <c r="F590" i="2"/>
  <c r="F595" i="2"/>
  <c r="F600" i="2"/>
  <c r="F605" i="2"/>
  <c r="F610" i="2"/>
  <c r="F615" i="2"/>
  <c r="F620" i="2"/>
  <c r="F625" i="2"/>
  <c r="F630" i="2"/>
  <c r="F635" i="2"/>
  <c r="F640" i="2"/>
  <c r="F645" i="2"/>
  <c r="F650" i="2"/>
  <c r="F655" i="2"/>
  <c r="F660" i="2"/>
  <c r="F665" i="2"/>
  <c r="F670" i="2"/>
  <c r="F675" i="2"/>
  <c r="F680" i="2"/>
  <c r="F685" i="2"/>
  <c r="F690" i="2"/>
  <c r="F695" i="2"/>
  <c r="F700" i="2"/>
  <c r="F705" i="2"/>
  <c r="F710" i="2"/>
  <c r="F715" i="2"/>
  <c r="F720" i="2"/>
  <c r="F725" i="2"/>
  <c r="F730" i="2"/>
  <c r="F735" i="2"/>
  <c r="F740" i="2"/>
  <c r="F745" i="2"/>
  <c r="F750" i="2"/>
  <c r="F755" i="2"/>
  <c r="F760" i="2"/>
  <c r="F765" i="2"/>
  <c r="F770" i="2"/>
  <c r="F775" i="2"/>
  <c r="F780" i="2"/>
  <c r="F785" i="2"/>
  <c r="F790" i="2"/>
  <c r="F795" i="2"/>
  <c r="F800" i="2"/>
  <c r="F805" i="2"/>
  <c r="F810" i="2"/>
  <c r="F815" i="2"/>
  <c r="F820" i="2"/>
  <c r="F825" i="2"/>
  <c r="F830" i="2"/>
  <c r="F835" i="2"/>
  <c r="F840" i="2"/>
  <c r="F845" i="2"/>
  <c r="F850" i="2"/>
  <c r="F855" i="2"/>
  <c r="F860" i="2"/>
  <c r="F865" i="2"/>
  <c r="F870" i="2"/>
  <c r="F875" i="2"/>
  <c r="F880" i="2"/>
  <c r="F885" i="2"/>
  <c r="F890" i="2"/>
  <c r="F895" i="2"/>
  <c r="F900" i="2"/>
  <c r="F15" i="2"/>
  <c r="F10" i="2"/>
  <c r="F5" i="2"/>
  <c r="G880" i="2" l="1"/>
  <c r="G780" i="2"/>
  <c r="G680" i="2"/>
  <c r="G580" i="2"/>
  <c r="G480" i="2"/>
  <c r="G380" i="2"/>
  <c r="G280" i="2"/>
  <c r="G180" i="2"/>
  <c r="G630" i="2"/>
  <c r="G80" i="2"/>
  <c r="G830" i="2"/>
  <c r="G530" i="2"/>
  <c r="G430" i="2"/>
  <c r="G330" i="2"/>
  <c r="G230" i="2"/>
  <c r="G130" i="2"/>
  <c r="G30" i="2"/>
  <c r="G855" i="2"/>
  <c r="G805" i="2"/>
  <c r="G755" i="2"/>
  <c r="G705" i="2"/>
  <c r="G655" i="2"/>
  <c r="G605" i="2"/>
  <c r="G555" i="2"/>
  <c r="G505" i="2"/>
  <c r="G455" i="2"/>
  <c r="G405" i="2"/>
  <c r="G355" i="2"/>
  <c r="G305" i="2"/>
  <c r="G255" i="2"/>
  <c r="G205" i="2"/>
  <c r="G155" i="2"/>
  <c r="G105" i="2"/>
  <c r="G55" i="2"/>
  <c r="G730" i="2"/>
  <c r="G5" i="2"/>
</calcChain>
</file>

<file path=xl/sharedStrings.xml><?xml version="1.0" encoding="utf-8"?>
<sst xmlns="http://schemas.openxmlformats.org/spreadsheetml/2006/main" count="1541" uniqueCount="36">
  <si>
    <t>A1</t>
  </si>
  <si>
    <t>A2</t>
  </si>
  <si>
    <t>A3</t>
  </si>
  <si>
    <t>A4</t>
  </si>
  <si>
    <t>B1</t>
  </si>
  <si>
    <t>B2</t>
  </si>
  <si>
    <t>B3</t>
  </si>
  <si>
    <t>V1</t>
  </si>
  <si>
    <t>V2</t>
  </si>
  <si>
    <t>V3</t>
  </si>
  <si>
    <t>V4</t>
  </si>
  <si>
    <t>V5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</si>
  <si>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</si>
  <si>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</si>
  <si>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</si>
  <si>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</si>
  <si>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</si>
  <si>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</si>
  <si>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</si>
  <si>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</si>
  <si>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</si>
  <si>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E1</t>
  </si>
  <si>
    <t>E2</t>
  </si>
  <si>
    <t>E3</t>
  </si>
  <si>
    <t>E4</t>
  </si>
  <si>
    <t>Treatment</t>
  </si>
  <si>
    <t>Replication</t>
  </si>
  <si>
    <t>Sample number</t>
  </si>
  <si>
    <t>BIOMETRIC OF  INTESTINAL VILLI OF  GIANT TREVALLY Caranx ignoblis</t>
  </si>
  <si>
    <t>Code Data of fish sample</t>
  </si>
  <si>
    <t>Lenght of villi (µm)</t>
  </si>
  <si>
    <t>Average length  of villi per fish sample (µm)</t>
  </si>
  <si>
    <t>Width of villi (µm)</t>
  </si>
  <si>
    <t>Average width of villi per fish sample(µm)</t>
  </si>
  <si>
    <t>Average width of villi per replication (µm)</t>
  </si>
  <si>
    <t>Average length of villi per replication (µm)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</si>
</sst>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0" xfId="0" applyFill="1"/>
    <xf numFmtId="0" fontId="5" fillId="0" borderId="0" xfId="0" applyFont="1"/>
    <xf numFmtId="0" fontId="6" fillId="0" borderId="0" xfId="0" applyFont="1"/>
    <xf numFmtId="0" fontId="3" fillId="0" borderId="2" xfId="0" applyFont="1" applyBorder="1" applyAlignment="1">
      <alignment vertical="center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164" fontId="2" fillId="0" borderId="0" xfId="0" applyNumberFormat="1" applyFont="1" applyBorder="1"/>
    <xf numFmtId="164" fontId="2" fillId="0" borderId="5" xfId="0" applyNumberFormat="1" applyFont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904"/>
  <sheetViews>
    <sheetView tabSelected="1" zoomScale="90" zoomScaleNormal="90" workbookViewId="0">
      <selection activeCell="D18" sqref="D18"/>
    </sheetView>
  </sheetViews>
  <sheetFormatPr baseColWidth="10" defaultColWidth="8.83203125" defaultRowHeight="15" x14ac:dyDescent="0.2"/>
  <cols>
    <col min="1" max="1" width="12" customWidth="1"/>
    <col min="4" max="4" width="10.83203125" customWidth="1"/>
    <col min="5" max="6" width="13.33203125" customWidth="1"/>
    <col min="7" max="7" width="13.83203125" style="7" customWidth="1"/>
    <col min="8" max="9" width="12.6640625" customWidth="1"/>
    <col min="10" max="10" width="13.83203125" style="7" customWidth="1"/>
    <col min="12" max="12" width="12" customWidth="1"/>
    <col min="13" max="13" width="10.33203125" customWidth="1"/>
    <col min="15" max="15" width="11.1640625" customWidth="1"/>
    <col min="16" max="17" width="13.1640625" customWidth="1"/>
    <col min="18" max="18" width="14.1640625" style="7" customWidth="1"/>
    <col min="19" max="20" width="13.5" customWidth="1"/>
    <col min="21" max="21" width="12.5" style="7" customWidth="1"/>
  </cols>
  <sheetData>
    <row r="2" spans="1:21" ht="21" x14ac:dyDescent="0.25">
      <c r="A2" s="9" t="s">
        <v>28</v>
      </c>
    </row>
    <row r="4" spans="1:21" ht="85" x14ac:dyDescent="0.2">
      <c r="A4" s="10" t="s">
        <v>25</v>
      </c>
      <c r="B4" s="10" t="s">
        <v>26</v>
      </c>
      <c r="C4" s="25" t="s">
        <v>27</v>
      </c>
      <c r="D4" s="3" t="s">
        <v>29</v>
      </c>
      <c r="E4" s="10" t="s">
        <v>30</v>
      </c>
      <c r="F4" s="10" t="s">
        <v>31</v>
      </c>
      <c r="G4" s="10" t="s">
        <v>35</v>
      </c>
      <c r="H4" s="10" t="s">
        <v>32</v>
      </c>
      <c r="I4" s="10" t="s">
        <v>33</v>
      </c>
      <c r="J4" s="10" t="s">
        <v>34</v>
      </c>
      <c r="K4" s="8"/>
      <c r="L4" s="10" t="s">
        <v>25</v>
      </c>
      <c r="M4" s="10" t="s">
        <v>26</v>
      </c>
      <c r="N4" s="25" t="s">
        <v>27</v>
      </c>
      <c r="O4" s="3" t="s">
        <v>29</v>
      </c>
      <c r="P4" s="10" t="s">
        <v>30</v>
      </c>
      <c r="Q4" s="10" t="s">
        <v>31</v>
      </c>
      <c r="R4" s="10" t="s">
        <v>35</v>
      </c>
      <c r="S4" s="10" t="s">
        <v>32</v>
      </c>
      <c r="T4" s="10" t="s">
        <v>33</v>
      </c>
      <c r="U4" s="10" t="s">
        <v>34</v>
      </c>
    </row>
    <row r="5" spans="1:21" ht="16" x14ac:dyDescent="0.2">
      <c r="A5" s="34" t="s">
        <v>0</v>
      </c>
      <c r="B5" s="33">
        <v>1</v>
      </c>
      <c r="C5" s="26">
        <v>1</v>
      </c>
      <c r="D5" s="4" t="s">
        <v>7</v>
      </c>
      <c r="E5" s="2">
        <v>97.586430000000007</v>
      </c>
      <c r="F5" s="27">
        <f>AVERAGE(E5:E9)</f>
        <v>92.772327999999987</v>
      </c>
      <c r="G5" s="37">
        <f>AVERAGE(F5:F29)</f>
        <v>88.719644400000021</v>
      </c>
      <c r="H5" s="2">
        <v>37.58643</v>
      </c>
      <c r="I5" s="27">
        <f>AVERAGE(H5:H9)</f>
        <v>38.772328000000002</v>
      </c>
      <c r="J5" s="37">
        <f>AVERAGE(I5:I29)</f>
        <v>38.7196444</v>
      </c>
      <c r="L5" s="30" t="s">
        <v>17</v>
      </c>
      <c r="M5" s="33">
        <v>1</v>
      </c>
      <c r="N5" s="26">
        <v>1</v>
      </c>
      <c r="O5" s="5" t="s">
        <v>7</v>
      </c>
      <c r="P5" s="2">
        <v>81.730080000000001</v>
      </c>
      <c r="Q5" s="27">
        <f>AVERAGE(P5:P9)</f>
        <v>107.10251000000001</v>
      </c>
      <c r="R5" s="37">
        <f>AVERAGE(Q5:Q29)</f>
        <v>113.77884200000001</v>
      </c>
      <c r="S5" s="1">
        <v>22.534409999999998</v>
      </c>
      <c r="T5" s="30">
        <f>AVERAGE(S5:S9)</f>
        <v>27.279842000000002</v>
      </c>
      <c r="U5" s="40">
        <f>AVERAGE(T5:T29)</f>
        <v>29.778431599999998</v>
      </c>
    </row>
    <row r="6" spans="1:21" ht="16" x14ac:dyDescent="0.2">
      <c r="A6" s="35"/>
      <c r="B6" s="33"/>
      <c r="C6" s="26"/>
      <c r="D6" s="4" t="s">
        <v>8</v>
      </c>
      <c r="E6" s="2">
        <v>42.550319999999999</v>
      </c>
      <c r="F6" s="28"/>
      <c r="G6" s="38"/>
      <c r="H6" s="2">
        <v>42.550319999999999</v>
      </c>
      <c r="I6" s="28"/>
      <c r="J6" s="38"/>
      <c r="L6" s="31"/>
      <c r="M6" s="33"/>
      <c r="N6" s="26"/>
      <c r="O6" s="5" t="s">
        <v>8</v>
      </c>
      <c r="P6" s="2">
        <v>89.359670000000008</v>
      </c>
      <c r="Q6" s="28"/>
      <c r="R6" s="38"/>
      <c r="S6" s="1">
        <v>32.59252</v>
      </c>
      <c r="T6" s="31"/>
      <c r="U6" s="41"/>
    </row>
    <row r="7" spans="1:21" ht="16" x14ac:dyDescent="0.2">
      <c r="A7" s="35"/>
      <c r="B7" s="33"/>
      <c r="C7" s="26"/>
      <c r="D7" s="4" t="s">
        <v>9</v>
      </c>
      <c r="E7" s="2">
        <v>100.50425999999999</v>
      </c>
      <c r="F7" s="28"/>
      <c r="G7" s="38"/>
      <c r="H7" s="2">
        <v>40.504260000000002</v>
      </c>
      <c r="I7" s="28"/>
      <c r="J7" s="38"/>
      <c r="L7" s="31"/>
      <c r="M7" s="33"/>
      <c r="N7" s="26"/>
      <c r="O7" s="5" t="s">
        <v>9</v>
      </c>
      <c r="P7" s="2">
        <v>125.26524999999999</v>
      </c>
      <c r="Q7" s="28"/>
      <c r="R7" s="38"/>
      <c r="S7" s="1">
        <v>24.81344</v>
      </c>
      <c r="T7" s="31"/>
      <c r="U7" s="41"/>
    </row>
    <row r="8" spans="1:21" ht="16" x14ac:dyDescent="0.2">
      <c r="A8" s="35"/>
      <c r="B8" s="33"/>
      <c r="C8" s="26"/>
      <c r="D8" s="4" t="s">
        <v>10</v>
      </c>
      <c r="E8" s="2">
        <v>120.27911</v>
      </c>
      <c r="F8" s="28"/>
      <c r="G8" s="38"/>
      <c r="H8" s="2">
        <v>40.279110000000003</v>
      </c>
      <c r="I8" s="28"/>
      <c r="J8" s="38"/>
      <c r="L8" s="31"/>
      <c r="M8" s="33"/>
      <c r="N8" s="26"/>
      <c r="O8" s="5" t="s">
        <v>10</v>
      </c>
      <c r="P8" s="2">
        <v>127.12190000000001</v>
      </c>
      <c r="Q8" s="28"/>
      <c r="R8" s="38"/>
      <c r="S8" s="1">
        <v>32.39141</v>
      </c>
      <c r="T8" s="31"/>
      <c r="U8" s="41"/>
    </row>
    <row r="9" spans="1:21" ht="16" x14ac:dyDescent="0.2">
      <c r="A9" s="35"/>
      <c r="B9" s="33"/>
      <c r="C9" s="26"/>
      <c r="D9" s="4" t="s">
        <v>11</v>
      </c>
      <c r="E9" s="2">
        <v>102.94152</v>
      </c>
      <c r="F9" s="29"/>
      <c r="G9" s="38"/>
      <c r="H9" s="2">
        <v>32.941519999999997</v>
      </c>
      <c r="I9" s="29"/>
      <c r="J9" s="38"/>
      <c r="L9" s="31"/>
      <c r="M9" s="33"/>
      <c r="N9" s="26"/>
      <c r="O9" s="5" t="s">
        <v>11</v>
      </c>
      <c r="P9" s="2">
        <v>112.03565</v>
      </c>
      <c r="Q9" s="29"/>
      <c r="R9" s="38"/>
      <c r="S9" s="1">
        <v>24.067429999999998</v>
      </c>
      <c r="T9" s="32"/>
      <c r="U9" s="41"/>
    </row>
    <row r="10" spans="1:21" ht="16" x14ac:dyDescent="0.2">
      <c r="A10" s="35"/>
      <c r="B10" s="33"/>
      <c r="C10" s="26">
        <v>2</v>
      </c>
      <c r="D10" s="4" t="s">
        <v>7</v>
      </c>
      <c r="E10" s="2">
        <v>107.12736000000001</v>
      </c>
      <c r="F10" s="27">
        <f>AVERAGE(E10:E14)</f>
        <v>98.355040000000002</v>
      </c>
      <c r="G10" s="38"/>
      <c r="H10" s="2">
        <v>37.127360000000003</v>
      </c>
      <c r="I10" s="27">
        <f t="shared" ref="I10" si="0">AVERAGE(H10:H14)</f>
        <v>40.355039999999995</v>
      </c>
      <c r="J10" s="38"/>
      <c r="L10" s="31"/>
      <c r="M10" s="33"/>
      <c r="N10" s="26">
        <v>2</v>
      </c>
      <c r="O10" s="5" t="s">
        <v>7</v>
      </c>
      <c r="P10" s="2">
        <v>141.11022</v>
      </c>
      <c r="Q10" s="27">
        <f t="shared" ref="Q10" si="1">AVERAGE(P10:P14)</f>
        <v>101.19702400000001</v>
      </c>
      <c r="R10" s="38"/>
      <c r="S10" s="1">
        <v>24.980070000000001</v>
      </c>
      <c r="T10" s="30">
        <f t="shared" ref="T10" si="2">AVERAGE(S10:S14)</f>
        <v>27.700995999999996</v>
      </c>
      <c r="U10" s="41"/>
    </row>
    <row r="11" spans="1:21" ht="16" x14ac:dyDescent="0.2">
      <c r="A11" s="35"/>
      <c r="B11" s="33"/>
      <c r="C11" s="26"/>
      <c r="D11" s="4" t="s">
        <v>8</v>
      </c>
      <c r="E11" s="2">
        <v>91.78370000000001</v>
      </c>
      <c r="F11" s="28"/>
      <c r="G11" s="38"/>
      <c r="H11" s="2">
        <v>41.783699999999996</v>
      </c>
      <c r="I11" s="28"/>
      <c r="J11" s="38"/>
      <c r="L11" s="31"/>
      <c r="M11" s="33"/>
      <c r="N11" s="26"/>
      <c r="O11" s="5" t="s">
        <v>8</v>
      </c>
      <c r="P11" s="2">
        <v>99.059850000000012</v>
      </c>
      <c r="Q11" s="28"/>
      <c r="R11" s="38"/>
      <c r="S11" s="1">
        <v>29.894349999999999</v>
      </c>
      <c r="T11" s="31"/>
      <c r="U11" s="41"/>
    </row>
    <row r="12" spans="1:21" ht="16" x14ac:dyDescent="0.2">
      <c r="A12" s="35"/>
      <c r="B12" s="33"/>
      <c r="C12" s="26"/>
      <c r="D12" s="4" t="s">
        <v>9</v>
      </c>
      <c r="E12" s="2">
        <v>97.588340000000002</v>
      </c>
      <c r="F12" s="28"/>
      <c r="G12" s="38"/>
      <c r="H12" s="2">
        <v>37.588339999999995</v>
      </c>
      <c r="I12" s="28"/>
      <c r="J12" s="38"/>
      <c r="L12" s="31"/>
      <c r="M12" s="33"/>
      <c r="N12" s="26"/>
      <c r="O12" s="5" t="s">
        <v>9</v>
      </c>
      <c r="P12" s="2">
        <v>68.592910000000003</v>
      </c>
      <c r="Q12" s="28"/>
      <c r="R12" s="38"/>
      <c r="S12" s="1">
        <v>26.143750000000001</v>
      </c>
      <c r="T12" s="31"/>
      <c r="U12" s="41"/>
    </row>
    <row r="13" spans="1:21" ht="16" x14ac:dyDescent="0.2">
      <c r="A13" s="35"/>
      <c r="B13" s="33"/>
      <c r="C13" s="26"/>
      <c r="D13" s="4" t="s">
        <v>10</v>
      </c>
      <c r="E13" s="2">
        <v>103.07201999999999</v>
      </c>
      <c r="F13" s="28"/>
      <c r="G13" s="38"/>
      <c r="H13" s="2">
        <v>43.072020000000002</v>
      </c>
      <c r="I13" s="28"/>
      <c r="J13" s="38"/>
      <c r="L13" s="31"/>
      <c r="M13" s="33"/>
      <c r="N13" s="26"/>
      <c r="O13" s="5" t="s">
        <v>10</v>
      </c>
      <c r="P13" s="2">
        <v>98.795660000000012</v>
      </c>
      <c r="Q13" s="28"/>
      <c r="R13" s="38"/>
      <c r="S13" s="1">
        <v>26.143750000000001</v>
      </c>
      <c r="T13" s="31"/>
      <c r="U13" s="41"/>
    </row>
    <row r="14" spans="1:21" ht="16" x14ac:dyDescent="0.2">
      <c r="A14" s="35"/>
      <c r="B14" s="33"/>
      <c r="C14" s="26"/>
      <c r="D14" s="4" t="s">
        <v>11</v>
      </c>
      <c r="E14" s="2">
        <v>92.203780000000009</v>
      </c>
      <c r="F14" s="29"/>
      <c r="G14" s="38"/>
      <c r="H14" s="2">
        <v>42.203779999999995</v>
      </c>
      <c r="I14" s="29"/>
      <c r="J14" s="38"/>
      <c r="L14" s="31"/>
      <c r="M14" s="33"/>
      <c r="N14" s="26"/>
      <c r="O14" s="5" t="s">
        <v>11</v>
      </c>
      <c r="P14" s="2">
        <v>98.426479999999998</v>
      </c>
      <c r="Q14" s="29"/>
      <c r="R14" s="38"/>
      <c r="S14" s="1">
        <v>31.343060000000001</v>
      </c>
      <c r="T14" s="32"/>
      <c r="U14" s="41"/>
    </row>
    <row r="15" spans="1:21" ht="16" x14ac:dyDescent="0.2">
      <c r="A15" s="35"/>
      <c r="B15" s="33"/>
      <c r="C15" s="26">
        <v>3</v>
      </c>
      <c r="D15" s="4" t="s">
        <v>7</v>
      </c>
      <c r="E15" s="2">
        <v>104.61812</v>
      </c>
      <c r="F15" s="27">
        <f>AVERAGE(E15:E19)</f>
        <v>96.796841999999998</v>
      </c>
      <c r="G15" s="38"/>
      <c r="H15" s="2">
        <v>44.618119999999998</v>
      </c>
      <c r="I15" s="27">
        <f t="shared" ref="I15" si="3">AVERAGE(H15:H19)</f>
        <v>38.796842000000005</v>
      </c>
      <c r="J15" s="38"/>
      <c r="L15" s="31"/>
      <c r="M15" s="33"/>
      <c r="N15" s="26">
        <v>3</v>
      </c>
      <c r="O15" s="5" t="s">
        <v>7</v>
      </c>
      <c r="P15" s="2">
        <v>130.09052</v>
      </c>
      <c r="Q15" s="27">
        <f t="shared" ref="Q15" si="4">AVERAGE(P15:P19)</f>
        <v>102.653626</v>
      </c>
      <c r="R15" s="38"/>
      <c r="S15" s="1">
        <v>35.760779999999997</v>
      </c>
      <c r="T15" s="30">
        <f t="shared" ref="T15" si="5">AVERAGE(S15:S19)</f>
        <v>31.293162000000002</v>
      </c>
      <c r="U15" s="41"/>
    </row>
    <row r="16" spans="1:21" ht="16" x14ac:dyDescent="0.2">
      <c r="A16" s="35"/>
      <c r="B16" s="33"/>
      <c r="C16" s="26"/>
      <c r="D16" s="4" t="s">
        <v>8</v>
      </c>
      <c r="E16" s="2">
        <v>98.528850000000006</v>
      </c>
      <c r="F16" s="28"/>
      <c r="G16" s="38"/>
      <c r="H16" s="2">
        <v>38.528850000000006</v>
      </c>
      <c r="I16" s="28"/>
      <c r="J16" s="38"/>
      <c r="L16" s="31"/>
      <c r="M16" s="33"/>
      <c r="N16" s="26"/>
      <c r="O16" s="5" t="s">
        <v>8</v>
      </c>
      <c r="P16" s="2">
        <v>110.56629000000001</v>
      </c>
      <c r="Q16" s="28"/>
      <c r="R16" s="38"/>
      <c r="S16" s="1">
        <v>31.780470000000001</v>
      </c>
      <c r="T16" s="31"/>
      <c r="U16" s="41"/>
    </row>
    <row r="17" spans="1:21" ht="16" x14ac:dyDescent="0.2">
      <c r="A17" s="35"/>
      <c r="B17" s="33"/>
      <c r="C17" s="26"/>
      <c r="D17" s="4" t="s">
        <v>9</v>
      </c>
      <c r="E17" s="2">
        <v>109.52123</v>
      </c>
      <c r="F17" s="28"/>
      <c r="G17" s="38"/>
      <c r="H17" s="2">
        <v>39.521230000000003</v>
      </c>
      <c r="I17" s="28"/>
      <c r="J17" s="38"/>
      <c r="L17" s="31"/>
      <c r="M17" s="33"/>
      <c r="N17" s="26"/>
      <c r="O17" s="5" t="s">
        <v>9</v>
      </c>
      <c r="P17" s="2">
        <v>93.072360000000003</v>
      </c>
      <c r="Q17" s="28"/>
      <c r="R17" s="38"/>
      <c r="S17" s="1">
        <v>36.54569</v>
      </c>
      <c r="T17" s="31"/>
      <c r="U17" s="41"/>
    </row>
    <row r="18" spans="1:21" ht="16" x14ac:dyDescent="0.2">
      <c r="A18" s="35"/>
      <c r="B18" s="33"/>
      <c r="C18" s="26"/>
      <c r="D18" s="4" t="s">
        <v>10</v>
      </c>
      <c r="E18" s="2">
        <v>66.041470000000004</v>
      </c>
      <c r="F18" s="28"/>
      <c r="G18" s="38"/>
      <c r="H18" s="2">
        <v>36.041469999999997</v>
      </c>
      <c r="I18" s="28"/>
      <c r="J18" s="38"/>
      <c r="L18" s="31"/>
      <c r="M18" s="33"/>
      <c r="N18" s="26"/>
      <c r="O18" s="5" t="s">
        <v>10</v>
      </c>
      <c r="P18" s="2">
        <v>101.56121999999999</v>
      </c>
      <c r="Q18" s="28"/>
      <c r="R18" s="38"/>
      <c r="S18" s="1">
        <v>25.430250000000001</v>
      </c>
      <c r="T18" s="31"/>
      <c r="U18" s="41"/>
    </row>
    <row r="19" spans="1:21" ht="16" x14ac:dyDescent="0.2">
      <c r="A19" s="35"/>
      <c r="B19" s="33"/>
      <c r="C19" s="26"/>
      <c r="D19" s="4" t="s">
        <v>11</v>
      </c>
      <c r="E19" s="2">
        <v>105.27454</v>
      </c>
      <c r="F19" s="29"/>
      <c r="G19" s="38"/>
      <c r="H19" s="2">
        <v>35.274540000000002</v>
      </c>
      <c r="I19" s="29"/>
      <c r="J19" s="38"/>
      <c r="L19" s="31"/>
      <c r="M19" s="33"/>
      <c r="N19" s="26"/>
      <c r="O19" s="5" t="s">
        <v>11</v>
      </c>
      <c r="P19" s="2">
        <v>77.977739999999997</v>
      </c>
      <c r="Q19" s="29"/>
      <c r="R19" s="38"/>
      <c r="S19" s="1">
        <v>26.948620000000002</v>
      </c>
      <c r="T19" s="32"/>
      <c r="U19" s="41"/>
    </row>
    <row r="20" spans="1:21" ht="16" x14ac:dyDescent="0.2">
      <c r="A20" s="35"/>
      <c r="B20" s="33"/>
      <c r="C20" s="26">
        <v>4</v>
      </c>
      <c r="D20" s="4" t="s">
        <v>7</v>
      </c>
      <c r="E20" s="2">
        <v>108.41102000000001</v>
      </c>
      <c r="F20" s="27">
        <f t="shared" ref="F20" si="6">AVERAGE(E20:E24)</f>
        <v>85.852789999999999</v>
      </c>
      <c r="G20" s="38"/>
      <c r="H20" s="2">
        <v>38.411020000000001</v>
      </c>
      <c r="I20" s="27">
        <f t="shared" ref="I20" si="7">AVERAGE(H20:H24)</f>
        <v>37.852790000000006</v>
      </c>
      <c r="J20" s="38"/>
      <c r="L20" s="31"/>
      <c r="M20" s="33"/>
      <c r="N20" s="26">
        <v>1</v>
      </c>
      <c r="O20" s="5" t="s">
        <v>7</v>
      </c>
      <c r="P20" s="2">
        <v>146.69272999999998</v>
      </c>
      <c r="Q20" s="27">
        <f t="shared" ref="Q20" si="8">AVERAGE(P20:P24)</f>
        <v>121.36268799999998</v>
      </c>
      <c r="R20" s="38"/>
      <c r="S20" s="1">
        <v>24.38241</v>
      </c>
      <c r="T20" s="30">
        <f t="shared" ref="T20" si="9">AVERAGE(S20:S24)</f>
        <v>30.185690000000001</v>
      </c>
      <c r="U20" s="41"/>
    </row>
    <row r="21" spans="1:21" ht="16" x14ac:dyDescent="0.2">
      <c r="A21" s="35"/>
      <c r="B21" s="33"/>
      <c r="C21" s="26"/>
      <c r="D21" s="4" t="s">
        <v>8</v>
      </c>
      <c r="E21" s="2">
        <v>71.982110000000006</v>
      </c>
      <c r="F21" s="28"/>
      <c r="G21" s="38"/>
      <c r="H21" s="2">
        <v>41.982110000000006</v>
      </c>
      <c r="I21" s="28"/>
      <c r="J21" s="38"/>
      <c r="L21" s="31"/>
      <c r="M21" s="33"/>
      <c r="N21" s="26"/>
      <c r="O21" s="5" t="s">
        <v>8</v>
      </c>
      <c r="P21" s="2">
        <v>109.99579</v>
      </c>
      <c r="Q21" s="28"/>
      <c r="R21" s="38"/>
      <c r="S21" s="1">
        <v>28.405810000000002</v>
      </c>
      <c r="T21" s="31"/>
      <c r="U21" s="41"/>
    </row>
    <row r="22" spans="1:21" ht="16" x14ac:dyDescent="0.2">
      <c r="A22" s="35"/>
      <c r="B22" s="33"/>
      <c r="C22" s="26"/>
      <c r="D22" s="4" t="s">
        <v>9</v>
      </c>
      <c r="E22" s="2">
        <v>82.548209999999997</v>
      </c>
      <c r="F22" s="28"/>
      <c r="G22" s="38"/>
      <c r="H22" s="2">
        <v>32.548209999999997</v>
      </c>
      <c r="I22" s="28"/>
      <c r="J22" s="38"/>
      <c r="L22" s="31"/>
      <c r="M22" s="33"/>
      <c r="N22" s="26"/>
      <c r="O22" s="5" t="s">
        <v>9</v>
      </c>
      <c r="P22" s="2">
        <v>109.38477999999999</v>
      </c>
      <c r="Q22" s="28"/>
      <c r="R22" s="38"/>
      <c r="S22" s="1">
        <v>32.281950000000002</v>
      </c>
      <c r="T22" s="31"/>
      <c r="U22" s="41"/>
    </row>
    <row r="23" spans="1:21" ht="16" x14ac:dyDescent="0.2">
      <c r="A23" s="35"/>
      <c r="B23" s="33"/>
      <c r="C23" s="26"/>
      <c r="D23" s="4" t="s">
        <v>10</v>
      </c>
      <c r="E23" s="2">
        <v>87.348089999999999</v>
      </c>
      <c r="F23" s="28"/>
      <c r="G23" s="38"/>
      <c r="H23" s="2">
        <v>37.348089999999999</v>
      </c>
      <c r="I23" s="28"/>
      <c r="J23" s="38"/>
      <c r="L23" s="31"/>
      <c r="M23" s="33"/>
      <c r="N23" s="26"/>
      <c r="O23" s="5" t="s">
        <v>10</v>
      </c>
      <c r="P23" s="2">
        <v>153.48185000000001</v>
      </c>
      <c r="Q23" s="28"/>
      <c r="R23" s="38"/>
      <c r="S23" s="1">
        <v>30.267029999999998</v>
      </c>
      <c r="T23" s="31"/>
      <c r="U23" s="41"/>
    </row>
    <row r="24" spans="1:21" ht="16" x14ac:dyDescent="0.2">
      <c r="A24" s="35"/>
      <c r="B24" s="33"/>
      <c r="C24" s="26"/>
      <c r="D24" s="4" t="s">
        <v>11</v>
      </c>
      <c r="E24" s="2">
        <v>78.974519999999998</v>
      </c>
      <c r="F24" s="29"/>
      <c r="G24" s="38"/>
      <c r="H24" s="2">
        <v>38.974520000000005</v>
      </c>
      <c r="I24" s="29"/>
      <c r="J24" s="38"/>
      <c r="L24" s="31"/>
      <c r="M24" s="33"/>
      <c r="N24" s="26"/>
      <c r="O24" s="5" t="s">
        <v>11</v>
      </c>
      <c r="P24" s="2">
        <v>87.258290000000002</v>
      </c>
      <c r="Q24" s="29"/>
      <c r="R24" s="38"/>
      <c r="S24" s="1">
        <v>35.591250000000002</v>
      </c>
      <c r="T24" s="32"/>
      <c r="U24" s="41"/>
    </row>
    <row r="25" spans="1:21" ht="16" x14ac:dyDescent="0.2">
      <c r="A25" s="35"/>
      <c r="B25" s="33"/>
      <c r="C25" s="26">
        <v>5</v>
      </c>
      <c r="D25" s="4" t="s">
        <v>7</v>
      </c>
      <c r="E25" s="2">
        <v>67.259920000000008</v>
      </c>
      <c r="F25" s="27">
        <f t="shared" ref="F25" si="10">AVERAGE(E25:E29)</f>
        <v>69.821222000000006</v>
      </c>
      <c r="G25" s="38"/>
      <c r="H25" s="2">
        <v>37.259920000000001</v>
      </c>
      <c r="I25" s="27">
        <f t="shared" ref="I25" si="11">AVERAGE(H25:H29)</f>
        <v>37.821221999999999</v>
      </c>
      <c r="J25" s="38"/>
      <c r="L25" s="31"/>
      <c r="M25" s="33"/>
      <c r="N25" s="26">
        <v>5</v>
      </c>
      <c r="O25" s="5" t="s">
        <v>7</v>
      </c>
      <c r="P25" s="2">
        <v>181.01937000000001</v>
      </c>
      <c r="Q25" s="27">
        <f t="shared" ref="Q25" si="12">AVERAGE(P25:P29)</f>
        <v>136.578362</v>
      </c>
      <c r="R25" s="38"/>
      <c r="S25" s="1">
        <v>27.380050000000001</v>
      </c>
      <c r="T25" s="30">
        <f t="shared" ref="T25" si="13">AVERAGE(S25:S29)</f>
        <v>32.432468000000007</v>
      </c>
      <c r="U25" s="41"/>
    </row>
    <row r="26" spans="1:21" ht="16" x14ac:dyDescent="0.2">
      <c r="A26" s="35"/>
      <c r="B26" s="33"/>
      <c r="C26" s="26"/>
      <c r="D26" s="4" t="s">
        <v>8</v>
      </c>
      <c r="E26" s="2">
        <v>78.910669999999996</v>
      </c>
      <c r="F26" s="28"/>
      <c r="G26" s="38"/>
      <c r="H26" s="2">
        <v>38.910670000000003</v>
      </c>
      <c r="I26" s="28"/>
      <c r="J26" s="38"/>
      <c r="L26" s="31"/>
      <c r="M26" s="33"/>
      <c r="N26" s="26"/>
      <c r="O26" s="5" t="s">
        <v>8</v>
      </c>
      <c r="P26" s="2">
        <v>133.93012000000002</v>
      </c>
      <c r="Q26" s="28"/>
      <c r="R26" s="38"/>
      <c r="S26" s="1">
        <v>34.350169999999999</v>
      </c>
      <c r="T26" s="31"/>
      <c r="U26" s="41"/>
    </row>
    <row r="27" spans="1:21" ht="16" x14ac:dyDescent="0.2">
      <c r="A27" s="35"/>
      <c r="B27" s="33"/>
      <c r="C27" s="26"/>
      <c r="D27" s="4" t="s">
        <v>9</v>
      </c>
      <c r="E27" s="2">
        <v>52.763019999999997</v>
      </c>
      <c r="F27" s="28"/>
      <c r="G27" s="38"/>
      <c r="H27" s="2">
        <v>42.763019999999997</v>
      </c>
      <c r="I27" s="28"/>
      <c r="J27" s="38"/>
      <c r="L27" s="31"/>
      <c r="M27" s="33"/>
      <c r="N27" s="26"/>
      <c r="O27" s="5" t="s">
        <v>9</v>
      </c>
      <c r="P27" s="2">
        <v>134.07640000000001</v>
      </c>
      <c r="Q27" s="28"/>
      <c r="R27" s="38"/>
      <c r="S27" s="1">
        <v>36.473350000000003</v>
      </c>
      <c r="T27" s="31"/>
      <c r="U27" s="41"/>
    </row>
    <row r="28" spans="1:21" ht="16" x14ac:dyDescent="0.2">
      <c r="A28" s="35"/>
      <c r="B28" s="33"/>
      <c r="C28" s="26"/>
      <c r="D28" s="4" t="s">
        <v>10</v>
      </c>
      <c r="E28" s="2">
        <v>92.704560000000001</v>
      </c>
      <c r="F28" s="28"/>
      <c r="G28" s="38"/>
      <c r="H28" s="2">
        <v>32.704560000000001</v>
      </c>
      <c r="I28" s="28"/>
      <c r="J28" s="38"/>
      <c r="L28" s="31"/>
      <c r="M28" s="33"/>
      <c r="N28" s="26"/>
      <c r="O28" s="5" t="s">
        <v>10</v>
      </c>
      <c r="P28" s="2">
        <v>133.89806000000002</v>
      </c>
      <c r="Q28" s="28"/>
      <c r="R28" s="38"/>
      <c r="S28" s="1">
        <v>27.815020000000001</v>
      </c>
      <c r="T28" s="31"/>
      <c r="U28" s="41"/>
    </row>
    <row r="29" spans="1:21" ht="16" x14ac:dyDescent="0.2">
      <c r="A29" s="35"/>
      <c r="B29" s="33"/>
      <c r="C29" s="26"/>
      <c r="D29" s="4" t="s">
        <v>11</v>
      </c>
      <c r="E29" s="2">
        <v>57.467939999999999</v>
      </c>
      <c r="F29" s="29"/>
      <c r="G29" s="39"/>
      <c r="H29" s="2">
        <v>37.467939999999999</v>
      </c>
      <c r="I29" s="29"/>
      <c r="J29" s="39"/>
      <c r="L29" s="31"/>
      <c r="M29" s="33"/>
      <c r="N29" s="26"/>
      <c r="O29" s="5" t="s">
        <v>11</v>
      </c>
      <c r="P29" s="2">
        <v>99.967860000000002</v>
      </c>
      <c r="Q29" s="29"/>
      <c r="R29" s="39"/>
      <c r="S29" s="1">
        <v>36.143749999999997</v>
      </c>
      <c r="T29" s="32"/>
      <c r="U29" s="42"/>
    </row>
    <row r="30" spans="1:21" ht="16" x14ac:dyDescent="0.2">
      <c r="A30" s="35"/>
      <c r="B30" s="26">
        <v>2</v>
      </c>
      <c r="C30" s="26">
        <v>1</v>
      </c>
      <c r="D30" s="4" t="s">
        <v>7</v>
      </c>
      <c r="E30" s="2">
        <v>128.93299999999999</v>
      </c>
      <c r="F30" s="27">
        <f t="shared" ref="F30" si="14">AVERAGE(E30:E34)</f>
        <v>133.308064</v>
      </c>
      <c r="G30" s="37">
        <f>AVERAGE(F30:F54)</f>
        <v>150.11256520000001</v>
      </c>
      <c r="H30" s="2">
        <v>37.298719999999996</v>
      </c>
      <c r="I30" s="27">
        <f t="shared" ref="I30" si="15">AVERAGE(H30:H34)</f>
        <v>40.125503999999999</v>
      </c>
      <c r="J30" s="37">
        <f t="shared" ref="J30" si="16">AVERAGE(I30:I54)</f>
        <v>38.567247199999997</v>
      </c>
      <c r="L30" s="31"/>
      <c r="M30" s="26">
        <v>2</v>
      </c>
      <c r="N30" s="26">
        <v>1</v>
      </c>
      <c r="O30" s="5" t="s">
        <v>7</v>
      </c>
      <c r="P30" s="2">
        <v>114.22877</v>
      </c>
      <c r="Q30" s="27">
        <f t="shared" ref="Q30" si="17">AVERAGE(P30:P34)</f>
        <v>122.58251800000001</v>
      </c>
      <c r="R30" s="37">
        <f t="shared" ref="R30" si="18">AVERAGE(Q30:Q54)</f>
        <v>128.41999479999998</v>
      </c>
      <c r="S30" s="1">
        <v>24.211770000000001</v>
      </c>
      <c r="T30" s="30">
        <f t="shared" ref="T30" si="19">AVERAGE(S30:S34)</f>
        <v>33.766024000000002</v>
      </c>
      <c r="U30" s="40">
        <f t="shared" ref="U30" si="20">AVERAGE(T30:T54)</f>
        <v>29.9787216</v>
      </c>
    </row>
    <row r="31" spans="1:21" ht="16" x14ac:dyDescent="0.2">
      <c r="A31" s="35"/>
      <c r="B31" s="26"/>
      <c r="C31" s="26"/>
      <c r="D31" s="4" t="s">
        <v>8</v>
      </c>
      <c r="E31" s="2">
        <v>108.63981</v>
      </c>
      <c r="F31" s="28"/>
      <c r="G31" s="38"/>
      <c r="H31" s="2">
        <v>36.684380000000004</v>
      </c>
      <c r="I31" s="28"/>
      <c r="J31" s="38"/>
      <c r="L31" s="31"/>
      <c r="M31" s="26"/>
      <c r="N31" s="26"/>
      <c r="O31" s="5" t="s">
        <v>8</v>
      </c>
      <c r="P31" s="2">
        <v>100.90165999999999</v>
      </c>
      <c r="Q31" s="28"/>
      <c r="R31" s="38"/>
      <c r="S31" s="1">
        <v>30.810580000000002</v>
      </c>
      <c r="T31" s="31"/>
      <c r="U31" s="41"/>
    </row>
    <row r="32" spans="1:21" ht="16" x14ac:dyDescent="0.2">
      <c r="A32" s="35"/>
      <c r="B32" s="26"/>
      <c r="C32" s="26"/>
      <c r="D32" s="4" t="s">
        <v>9</v>
      </c>
      <c r="E32" s="2">
        <v>146.73854</v>
      </c>
      <c r="F32" s="28"/>
      <c r="G32" s="38"/>
      <c r="H32" s="2">
        <v>39.526429999999998</v>
      </c>
      <c r="I32" s="28"/>
      <c r="J32" s="38"/>
      <c r="L32" s="31"/>
      <c r="M32" s="26"/>
      <c r="N32" s="26"/>
      <c r="O32" s="5" t="s">
        <v>9</v>
      </c>
      <c r="P32" s="2">
        <v>135.77334000000002</v>
      </c>
      <c r="Q32" s="28"/>
      <c r="R32" s="38"/>
      <c r="S32" s="1">
        <v>31.52927</v>
      </c>
      <c r="T32" s="31"/>
      <c r="U32" s="41"/>
    </row>
    <row r="33" spans="1:21" ht="16" x14ac:dyDescent="0.2">
      <c r="A33" s="35"/>
      <c r="B33" s="26"/>
      <c r="C33" s="26"/>
      <c r="D33" s="4" t="s">
        <v>10</v>
      </c>
      <c r="E33" s="2">
        <v>103.18714</v>
      </c>
      <c r="F33" s="28"/>
      <c r="G33" s="38"/>
      <c r="H33" s="2">
        <v>49.188569999999999</v>
      </c>
      <c r="I33" s="28"/>
      <c r="J33" s="38"/>
      <c r="L33" s="31"/>
      <c r="M33" s="26"/>
      <c r="N33" s="26"/>
      <c r="O33" s="5" t="s">
        <v>10</v>
      </c>
      <c r="P33" s="2">
        <v>158.63783999999998</v>
      </c>
      <c r="Q33" s="28"/>
      <c r="R33" s="38"/>
      <c r="S33" s="1">
        <v>39.435220000000001</v>
      </c>
      <c r="T33" s="31"/>
      <c r="U33" s="41"/>
    </row>
    <row r="34" spans="1:21" ht="16" x14ac:dyDescent="0.2">
      <c r="A34" s="35"/>
      <c r="B34" s="26"/>
      <c r="C34" s="26"/>
      <c r="D34" s="4" t="s">
        <v>11</v>
      </c>
      <c r="E34" s="2">
        <v>179.04183</v>
      </c>
      <c r="F34" s="29"/>
      <c r="G34" s="38"/>
      <c r="H34" s="2">
        <v>37.92942</v>
      </c>
      <c r="I34" s="29"/>
      <c r="J34" s="38"/>
      <c r="L34" s="31"/>
      <c r="M34" s="26"/>
      <c r="N34" s="26"/>
      <c r="O34" s="5" t="s">
        <v>11</v>
      </c>
      <c r="P34" s="2">
        <v>103.37098</v>
      </c>
      <c r="Q34" s="29"/>
      <c r="R34" s="38"/>
      <c r="S34" s="1">
        <v>42.843280000000007</v>
      </c>
      <c r="T34" s="32"/>
      <c r="U34" s="41"/>
    </row>
    <row r="35" spans="1:21" ht="16" x14ac:dyDescent="0.2">
      <c r="A35" s="35"/>
      <c r="B35" s="26"/>
      <c r="C35" s="26">
        <v>2</v>
      </c>
      <c r="D35" s="4" t="s">
        <v>7</v>
      </c>
      <c r="E35" s="2">
        <v>146.0908</v>
      </c>
      <c r="F35" s="27">
        <f t="shared" ref="F35" si="21">AVERAGE(E35:E39)</f>
        <v>135.81557400000003</v>
      </c>
      <c r="G35" s="38"/>
      <c r="H35" s="2">
        <v>36.402560000000001</v>
      </c>
      <c r="I35" s="27">
        <f t="shared" ref="I35" si="22">AVERAGE(H35:H39)</f>
        <v>37.494698</v>
      </c>
      <c r="J35" s="38"/>
      <c r="L35" s="31"/>
      <c r="M35" s="26"/>
      <c r="N35" s="26">
        <v>2</v>
      </c>
      <c r="O35" s="5" t="s">
        <v>7</v>
      </c>
      <c r="P35" s="2">
        <v>151.64579000000001</v>
      </c>
      <c r="Q35" s="27">
        <f t="shared" ref="Q35" si="23">AVERAGE(P35:P39)</f>
        <v>140.278288</v>
      </c>
      <c r="R35" s="38"/>
      <c r="S35" s="1">
        <v>33.423259999999999</v>
      </c>
      <c r="T35" s="30">
        <f t="shared" ref="T35" si="24">AVERAGE(S35:S39)</f>
        <v>29.064545999999996</v>
      </c>
      <c r="U35" s="41"/>
    </row>
    <row r="36" spans="1:21" ht="16" x14ac:dyDescent="0.2">
      <c r="A36" s="35"/>
      <c r="B36" s="26"/>
      <c r="C36" s="26"/>
      <c r="D36" s="4" t="s">
        <v>8</v>
      </c>
      <c r="E36" s="2">
        <v>119.37389999999999</v>
      </c>
      <c r="F36" s="28"/>
      <c r="G36" s="38"/>
      <c r="H36" s="2">
        <v>39.514409999999998</v>
      </c>
      <c r="I36" s="28"/>
      <c r="J36" s="38"/>
      <c r="L36" s="31"/>
      <c r="M36" s="26"/>
      <c r="N36" s="26"/>
      <c r="O36" s="5" t="s">
        <v>8</v>
      </c>
      <c r="P36" s="2">
        <v>174.78700000000001</v>
      </c>
      <c r="Q36" s="28"/>
      <c r="R36" s="38"/>
      <c r="S36" s="1">
        <v>27.981819999999999</v>
      </c>
      <c r="T36" s="31"/>
      <c r="U36" s="41"/>
    </row>
    <row r="37" spans="1:21" ht="16" x14ac:dyDescent="0.2">
      <c r="A37" s="35"/>
      <c r="B37" s="26"/>
      <c r="C37" s="26"/>
      <c r="D37" s="4" t="s">
        <v>9</v>
      </c>
      <c r="E37" s="2">
        <v>128.35685999999998</v>
      </c>
      <c r="F37" s="28"/>
      <c r="G37" s="38"/>
      <c r="H37" s="2">
        <v>39.670529999999999</v>
      </c>
      <c r="I37" s="28"/>
      <c r="J37" s="38"/>
      <c r="L37" s="31"/>
      <c r="M37" s="26"/>
      <c r="N37" s="26"/>
      <c r="O37" s="5" t="s">
        <v>9</v>
      </c>
      <c r="P37" s="2">
        <v>90.142620000000008</v>
      </c>
      <c r="Q37" s="28"/>
      <c r="R37" s="38"/>
      <c r="S37" s="1">
        <v>33.070169999999997</v>
      </c>
      <c r="T37" s="31"/>
      <c r="U37" s="41"/>
    </row>
    <row r="38" spans="1:21" ht="16" x14ac:dyDescent="0.2">
      <c r="A38" s="35"/>
      <c r="B38" s="26"/>
      <c r="C38" s="26"/>
      <c r="D38" s="4" t="s">
        <v>10</v>
      </c>
      <c r="E38" s="2">
        <v>154.74170000000001</v>
      </c>
      <c r="F38" s="28"/>
      <c r="G38" s="38"/>
      <c r="H38" s="2">
        <v>38.381120000000003</v>
      </c>
      <c r="I38" s="28"/>
      <c r="J38" s="38"/>
      <c r="L38" s="31"/>
      <c r="M38" s="26"/>
      <c r="N38" s="26"/>
      <c r="O38" s="5" t="s">
        <v>10</v>
      </c>
      <c r="P38" s="2">
        <v>158.34987999999998</v>
      </c>
      <c r="Q38" s="28"/>
      <c r="R38" s="38"/>
      <c r="S38" s="1">
        <v>26.108870000000003</v>
      </c>
      <c r="T38" s="31"/>
      <c r="U38" s="41"/>
    </row>
    <row r="39" spans="1:21" ht="16" x14ac:dyDescent="0.2">
      <c r="A39" s="35"/>
      <c r="B39" s="26"/>
      <c r="C39" s="26"/>
      <c r="D39" s="4" t="s">
        <v>11</v>
      </c>
      <c r="E39" s="2">
        <v>130.51461</v>
      </c>
      <c r="F39" s="29"/>
      <c r="G39" s="38"/>
      <c r="H39" s="2">
        <v>33.504870000000004</v>
      </c>
      <c r="I39" s="29"/>
      <c r="J39" s="38"/>
      <c r="L39" s="31"/>
      <c r="M39" s="26"/>
      <c r="N39" s="26"/>
      <c r="O39" s="5" t="s">
        <v>11</v>
      </c>
      <c r="P39" s="2">
        <v>126.46615</v>
      </c>
      <c r="Q39" s="29"/>
      <c r="R39" s="38"/>
      <c r="S39" s="1">
        <v>24.738609999999998</v>
      </c>
      <c r="T39" s="32"/>
      <c r="U39" s="41"/>
    </row>
    <row r="40" spans="1:21" ht="16" x14ac:dyDescent="0.2">
      <c r="A40" s="35"/>
      <c r="B40" s="26"/>
      <c r="C40" s="26">
        <v>3</v>
      </c>
      <c r="D40" s="4" t="s">
        <v>7</v>
      </c>
      <c r="E40" s="2">
        <v>179.22004000000001</v>
      </c>
      <c r="F40" s="27">
        <f t="shared" ref="F40" si="25">AVERAGE(E40:E44)</f>
        <v>176.43470600000001</v>
      </c>
      <c r="G40" s="38"/>
      <c r="H40" s="2">
        <v>39.029699999999998</v>
      </c>
      <c r="I40" s="27">
        <f t="shared" ref="I40" si="26">AVERAGE(H40:H44)</f>
        <v>38.678742000000007</v>
      </c>
      <c r="J40" s="38"/>
      <c r="L40" s="31"/>
      <c r="M40" s="26"/>
      <c r="N40" s="26">
        <v>3</v>
      </c>
      <c r="O40" s="5" t="s">
        <v>7</v>
      </c>
      <c r="P40" s="2">
        <v>81.019369999999995</v>
      </c>
      <c r="Q40" s="27">
        <f t="shared" ref="Q40" si="27">AVERAGE(P40:P44)</f>
        <v>124.578362</v>
      </c>
      <c r="R40" s="38"/>
      <c r="S40" s="1">
        <v>27.380050000000001</v>
      </c>
      <c r="T40" s="30">
        <f t="shared" ref="T40" si="28">AVERAGE(S40:S44)</f>
        <v>26.432468</v>
      </c>
      <c r="U40" s="41"/>
    </row>
    <row r="41" spans="1:21" ht="16" x14ac:dyDescent="0.2">
      <c r="A41" s="35"/>
      <c r="B41" s="26"/>
      <c r="C41" s="26"/>
      <c r="D41" s="4" t="s">
        <v>8</v>
      </c>
      <c r="E41" s="2">
        <v>108.74126</v>
      </c>
      <c r="F41" s="28"/>
      <c r="G41" s="38"/>
      <c r="H41" s="2">
        <v>34.706980000000001</v>
      </c>
      <c r="I41" s="28"/>
      <c r="J41" s="38"/>
      <c r="L41" s="31"/>
      <c r="M41" s="26"/>
      <c r="N41" s="26"/>
      <c r="O41" s="5" t="s">
        <v>8</v>
      </c>
      <c r="P41" s="2">
        <v>133.93012000000002</v>
      </c>
      <c r="Q41" s="28"/>
      <c r="R41" s="38"/>
      <c r="S41" s="1">
        <v>24.350169999999999</v>
      </c>
      <c r="T41" s="31"/>
      <c r="U41" s="41"/>
    </row>
    <row r="42" spans="1:21" ht="16" x14ac:dyDescent="0.2">
      <c r="A42" s="35"/>
      <c r="B42" s="26"/>
      <c r="C42" s="26"/>
      <c r="D42" s="4" t="s">
        <v>9</v>
      </c>
      <c r="E42" s="2">
        <v>221.41351999999998</v>
      </c>
      <c r="F42" s="28"/>
      <c r="G42" s="38"/>
      <c r="H42" s="2">
        <v>49.828549999999993</v>
      </c>
      <c r="I42" s="28"/>
      <c r="J42" s="38"/>
      <c r="L42" s="31"/>
      <c r="M42" s="26"/>
      <c r="N42" s="26"/>
      <c r="O42" s="5" t="s">
        <v>9</v>
      </c>
      <c r="P42" s="2">
        <v>144.07640000000001</v>
      </c>
      <c r="Q42" s="28"/>
      <c r="R42" s="38"/>
      <c r="S42" s="1">
        <v>26.47335</v>
      </c>
      <c r="T42" s="31"/>
      <c r="U42" s="41"/>
    </row>
    <row r="43" spans="1:21" ht="16" x14ac:dyDescent="0.2">
      <c r="A43" s="35"/>
      <c r="B43" s="26"/>
      <c r="C43" s="26"/>
      <c r="D43" s="4" t="s">
        <v>10</v>
      </c>
      <c r="E43" s="2">
        <v>225.30763999999999</v>
      </c>
      <c r="F43" s="28"/>
      <c r="G43" s="38"/>
      <c r="H43" s="2">
        <v>35.082840000000004</v>
      </c>
      <c r="I43" s="28"/>
      <c r="J43" s="38"/>
      <c r="L43" s="31"/>
      <c r="M43" s="26"/>
      <c r="N43" s="26"/>
      <c r="O43" s="5" t="s">
        <v>10</v>
      </c>
      <c r="P43" s="2">
        <v>123.89806</v>
      </c>
      <c r="Q43" s="28"/>
      <c r="R43" s="38"/>
      <c r="S43" s="1">
        <v>27.815020000000001</v>
      </c>
      <c r="T43" s="31"/>
      <c r="U43" s="41"/>
    </row>
    <row r="44" spans="1:21" ht="16" x14ac:dyDescent="0.2">
      <c r="A44" s="35"/>
      <c r="B44" s="26"/>
      <c r="C44" s="26"/>
      <c r="D44" s="4" t="s">
        <v>11</v>
      </c>
      <c r="E44" s="2">
        <v>147.49107000000001</v>
      </c>
      <c r="F44" s="29"/>
      <c r="G44" s="38"/>
      <c r="H44" s="2">
        <v>34.745640000000002</v>
      </c>
      <c r="I44" s="29"/>
      <c r="J44" s="38"/>
      <c r="L44" s="31"/>
      <c r="M44" s="26"/>
      <c r="N44" s="26"/>
      <c r="O44" s="5" t="s">
        <v>11</v>
      </c>
      <c r="P44" s="2">
        <v>139.96786</v>
      </c>
      <c r="Q44" s="29"/>
      <c r="R44" s="38"/>
      <c r="S44" s="1">
        <v>26.143750000000001</v>
      </c>
      <c r="T44" s="32"/>
      <c r="U44" s="41"/>
    </row>
    <row r="45" spans="1:21" ht="16" x14ac:dyDescent="0.2">
      <c r="A45" s="35"/>
      <c r="B45" s="26"/>
      <c r="C45" s="26">
        <v>4</v>
      </c>
      <c r="D45" s="4" t="s">
        <v>7</v>
      </c>
      <c r="E45" s="2">
        <v>213.61420999999999</v>
      </c>
      <c r="F45" s="27">
        <f t="shared" ref="F45" si="29">AVERAGE(E45:E49)</f>
        <v>174.26824400000001</v>
      </c>
      <c r="G45" s="38"/>
      <c r="H45" s="2">
        <v>35.996569999999998</v>
      </c>
      <c r="I45" s="27">
        <f t="shared" ref="I45" si="30">AVERAGE(H45:H49)</f>
        <v>38.495614000000003</v>
      </c>
      <c r="J45" s="38"/>
      <c r="L45" s="31"/>
      <c r="M45" s="26"/>
      <c r="N45" s="26">
        <v>4</v>
      </c>
      <c r="O45" s="5" t="s">
        <v>7</v>
      </c>
      <c r="P45" s="2">
        <v>114.22877</v>
      </c>
      <c r="Q45" s="27">
        <f t="shared" ref="Q45" si="31">AVERAGE(P45:P49)</f>
        <v>140.382518</v>
      </c>
      <c r="R45" s="38"/>
      <c r="S45" s="1">
        <v>30.211770000000001</v>
      </c>
      <c r="T45" s="30">
        <f t="shared" ref="T45" si="32">AVERAGE(S45:S49)</f>
        <v>30.566023999999999</v>
      </c>
      <c r="U45" s="41"/>
    </row>
    <row r="46" spans="1:21" ht="16" x14ac:dyDescent="0.2">
      <c r="A46" s="35"/>
      <c r="B46" s="26"/>
      <c r="C46" s="26"/>
      <c r="D46" s="4" t="s">
        <v>8</v>
      </c>
      <c r="E46" s="2">
        <v>170.33395000000002</v>
      </c>
      <c r="F46" s="28"/>
      <c r="G46" s="38"/>
      <c r="H46" s="2">
        <v>41.694250000000004</v>
      </c>
      <c r="I46" s="28"/>
      <c r="J46" s="38"/>
      <c r="L46" s="31"/>
      <c r="M46" s="26"/>
      <c r="N46" s="26"/>
      <c r="O46" s="5" t="s">
        <v>8</v>
      </c>
      <c r="P46" s="2">
        <v>217.90166000000002</v>
      </c>
      <c r="Q46" s="28"/>
      <c r="R46" s="38"/>
      <c r="S46" s="1">
        <v>30.810580000000002</v>
      </c>
      <c r="T46" s="31"/>
      <c r="U46" s="41"/>
    </row>
    <row r="47" spans="1:21" ht="16" x14ac:dyDescent="0.2">
      <c r="A47" s="35"/>
      <c r="B47" s="26"/>
      <c r="C47" s="26"/>
      <c r="D47" s="4" t="s">
        <v>9</v>
      </c>
      <c r="E47" s="2">
        <v>176.24213</v>
      </c>
      <c r="F47" s="28"/>
      <c r="G47" s="38"/>
      <c r="H47" s="2">
        <v>37.451700000000002</v>
      </c>
      <c r="I47" s="28"/>
      <c r="J47" s="38"/>
      <c r="L47" s="31"/>
      <c r="M47" s="26"/>
      <c r="N47" s="26"/>
      <c r="O47" s="5" t="s">
        <v>9</v>
      </c>
      <c r="P47" s="2">
        <v>105.77334</v>
      </c>
      <c r="Q47" s="28"/>
      <c r="R47" s="38"/>
      <c r="S47" s="1">
        <v>31.52927</v>
      </c>
      <c r="T47" s="31"/>
      <c r="U47" s="41"/>
    </row>
    <row r="48" spans="1:21" ht="16" x14ac:dyDescent="0.2">
      <c r="A48" s="35"/>
      <c r="B48" s="26"/>
      <c r="C48" s="26"/>
      <c r="D48" s="4" t="s">
        <v>10</v>
      </c>
      <c r="E48" s="2">
        <v>177.77256</v>
      </c>
      <c r="F48" s="28"/>
      <c r="G48" s="38"/>
      <c r="H48" s="2">
        <v>36.525259999999996</v>
      </c>
      <c r="I48" s="28"/>
      <c r="J48" s="38"/>
      <c r="L48" s="31"/>
      <c r="M48" s="26"/>
      <c r="N48" s="26"/>
      <c r="O48" s="5" t="s">
        <v>10</v>
      </c>
      <c r="P48" s="2">
        <v>158.63783999999998</v>
      </c>
      <c r="Q48" s="28"/>
      <c r="R48" s="38"/>
      <c r="S48" s="1">
        <v>29.435220000000001</v>
      </c>
      <c r="T48" s="31"/>
      <c r="U48" s="41"/>
    </row>
    <row r="49" spans="1:21" ht="16" x14ac:dyDescent="0.2">
      <c r="A49" s="35"/>
      <c r="B49" s="26"/>
      <c r="C49" s="26"/>
      <c r="D49" s="4" t="s">
        <v>11</v>
      </c>
      <c r="E49" s="2">
        <v>133.37836999999999</v>
      </c>
      <c r="F49" s="29"/>
      <c r="G49" s="38"/>
      <c r="H49" s="2">
        <v>40.810290000000002</v>
      </c>
      <c r="I49" s="29"/>
      <c r="J49" s="38"/>
      <c r="L49" s="31"/>
      <c r="M49" s="26"/>
      <c r="N49" s="26"/>
      <c r="O49" s="5" t="s">
        <v>11</v>
      </c>
      <c r="P49" s="2">
        <v>105.37098</v>
      </c>
      <c r="Q49" s="29"/>
      <c r="R49" s="38"/>
      <c r="S49" s="1">
        <v>30.84328</v>
      </c>
      <c r="T49" s="32"/>
      <c r="U49" s="41"/>
    </row>
    <row r="50" spans="1:21" ht="16" x14ac:dyDescent="0.2">
      <c r="A50" s="35"/>
      <c r="B50" s="26"/>
      <c r="C50" s="26">
        <v>5</v>
      </c>
      <c r="D50" s="4" t="s">
        <v>7</v>
      </c>
      <c r="E50" s="2">
        <v>177.42034999999998</v>
      </c>
      <c r="F50" s="27">
        <f t="shared" ref="F50" si="33">AVERAGE(E50:E54)</f>
        <v>130.73623800000001</v>
      </c>
      <c r="G50" s="38"/>
      <c r="H50" s="2">
        <v>41.163190000000007</v>
      </c>
      <c r="I50" s="27">
        <f t="shared" ref="I50" si="34">AVERAGE(H50:H54)</f>
        <v>38.041677999999997</v>
      </c>
      <c r="J50" s="38"/>
      <c r="L50" s="31"/>
      <c r="M50" s="26"/>
      <c r="N50" s="26">
        <v>5</v>
      </c>
      <c r="O50" s="5" t="s">
        <v>7</v>
      </c>
      <c r="P50" s="2">
        <v>71.645789999999991</v>
      </c>
      <c r="Q50" s="27">
        <f t="shared" ref="Q50" si="35">AVERAGE(P50:P54)</f>
        <v>114.278288</v>
      </c>
      <c r="R50" s="38"/>
      <c r="S50" s="1">
        <v>33.423259999999999</v>
      </c>
      <c r="T50" s="30">
        <f t="shared" ref="T50" si="36">AVERAGE(S50:S54)</f>
        <v>30.064545999999996</v>
      </c>
      <c r="U50" s="41"/>
    </row>
    <row r="51" spans="1:21" ht="16" x14ac:dyDescent="0.2">
      <c r="A51" s="35"/>
      <c r="B51" s="26"/>
      <c r="C51" s="26"/>
      <c r="D51" s="4" t="s">
        <v>8</v>
      </c>
      <c r="E51" s="2">
        <v>137.20352</v>
      </c>
      <c r="F51" s="28"/>
      <c r="G51" s="38"/>
      <c r="H51" s="2">
        <v>32.03172</v>
      </c>
      <c r="I51" s="28"/>
      <c r="J51" s="38"/>
      <c r="L51" s="31"/>
      <c r="M51" s="26"/>
      <c r="N51" s="26"/>
      <c r="O51" s="5" t="s">
        <v>8</v>
      </c>
      <c r="P51" s="2">
        <v>174.78700000000001</v>
      </c>
      <c r="Q51" s="28"/>
      <c r="R51" s="38"/>
      <c r="S51" s="1">
        <v>32.981819999999999</v>
      </c>
      <c r="T51" s="31"/>
      <c r="U51" s="41"/>
    </row>
    <row r="52" spans="1:21" ht="16" x14ac:dyDescent="0.2">
      <c r="A52" s="35"/>
      <c r="B52" s="26"/>
      <c r="C52" s="26"/>
      <c r="D52" s="4" t="s">
        <v>9</v>
      </c>
      <c r="E52" s="2">
        <v>137.79143999999999</v>
      </c>
      <c r="F52" s="28"/>
      <c r="G52" s="38"/>
      <c r="H52" s="2">
        <v>38.693339999999999</v>
      </c>
      <c r="I52" s="28"/>
      <c r="J52" s="38"/>
      <c r="L52" s="31"/>
      <c r="M52" s="26"/>
      <c r="N52" s="26"/>
      <c r="O52" s="5" t="s">
        <v>9</v>
      </c>
      <c r="P52" s="2">
        <v>120.14262000000001</v>
      </c>
      <c r="Q52" s="28"/>
      <c r="R52" s="38"/>
      <c r="S52" s="1">
        <v>33.070169999999997</v>
      </c>
      <c r="T52" s="31"/>
      <c r="U52" s="41"/>
    </row>
    <row r="53" spans="1:21" ht="16" x14ac:dyDescent="0.2">
      <c r="A53" s="35"/>
      <c r="B53" s="26"/>
      <c r="C53" s="26"/>
      <c r="D53" s="4" t="s">
        <v>10</v>
      </c>
      <c r="E53" s="2">
        <v>107.67145000000001</v>
      </c>
      <c r="F53" s="28"/>
      <c r="G53" s="38"/>
      <c r="H53" s="2">
        <v>38.823909999999998</v>
      </c>
      <c r="I53" s="28"/>
      <c r="J53" s="38"/>
      <c r="L53" s="31"/>
      <c r="M53" s="26"/>
      <c r="N53" s="26"/>
      <c r="O53" s="5" t="s">
        <v>10</v>
      </c>
      <c r="P53" s="2">
        <v>108.34988</v>
      </c>
      <c r="Q53" s="28"/>
      <c r="R53" s="38"/>
      <c r="S53" s="1">
        <v>26.108870000000003</v>
      </c>
      <c r="T53" s="31"/>
      <c r="U53" s="41"/>
    </row>
    <row r="54" spans="1:21" ht="16" x14ac:dyDescent="0.2">
      <c r="A54" s="35"/>
      <c r="B54" s="26"/>
      <c r="C54" s="26"/>
      <c r="D54" s="4" t="s">
        <v>11</v>
      </c>
      <c r="E54" s="2">
        <v>93.594429999999988</v>
      </c>
      <c r="F54" s="29"/>
      <c r="G54" s="39"/>
      <c r="H54" s="2">
        <v>39.496229999999997</v>
      </c>
      <c r="I54" s="29"/>
      <c r="J54" s="39"/>
      <c r="L54" s="31"/>
      <c r="M54" s="26"/>
      <c r="N54" s="26"/>
      <c r="O54" s="5" t="s">
        <v>11</v>
      </c>
      <c r="P54" s="2">
        <v>96.466149999999999</v>
      </c>
      <c r="Q54" s="29"/>
      <c r="R54" s="39"/>
      <c r="S54" s="1">
        <v>24.738609999999998</v>
      </c>
      <c r="T54" s="32"/>
      <c r="U54" s="42"/>
    </row>
    <row r="55" spans="1:21" ht="16" x14ac:dyDescent="0.2">
      <c r="A55" s="35"/>
      <c r="B55" s="26">
        <v>3</v>
      </c>
      <c r="C55" s="26">
        <v>1</v>
      </c>
      <c r="D55" s="4" t="s">
        <v>7</v>
      </c>
      <c r="E55" s="2">
        <v>133.21030000000002</v>
      </c>
      <c r="F55" s="27">
        <f t="shared" ref="F55" si="37">AVERAGE(E55:E59)</f>
        <v>84.943224000000001</v>
      </c>
      <c r="G55" s="37">
        <f>AVERAGE(F55:F79)</f>
        <v>90.636086400000011</v>
      </c>
      <c r="H55" s="2">
        <v>40.109819999999999</v>
      </c>
      <c r="I55" s="27">
        <f t="shared" ref="I55" si="38">AVERAGE(H55:H59)</f>
        <v>36.986081999999996</v>
      </c>
      <c r="J55" s="37">
        <f t="shared" ref="J55" si="39">AVERAGE(I55:I79)</f>
        <v>38.599539199999995</v>
      </c>
      <c r="L55" s="31"/>
      <c r="M55" s="33">
        <v>3</v>
      </c>
      <c r="N55" s="26">
        <v>1</v>
      </c>
      <c r="O55" s="5" t="s">
        <v>7</v>
      </c>
      <c r="P55" s="2">
        <v>112.94174000000001</v>
      </c>
      <c r="Q55" s="27">
        <f t="shared" ref="Q55" si="40">AVERAGE(P55:P59)</f>
        <v>123.57757800000002</v>
      </c>
      <c r="R55" s="37">
        <f t="shared" ref="R55" si="41">AVERAGE(Q55:Q79)</f>
        <v>137.74414759999999</v>
      </c>
      <c r="S55" s="1">
        <v>24.317159999999998</v>
      </c>
      <c r="T55" s="30">
        <f t="shared" ref="T55" si="42">AVERAGE(S55:S59)</f>
        <v>27.827074</v>
      </c>
      <c r="U55" s="40">
        <f t="shared" ref="U55" si="43">AVERAGE(T55:T79)</f>
        <v>29.9363612</v>
      </c>
    </row>
    <row r="56" spans="1:21" ht="16" x14ac:dyDescent="0.2">
      <c r="A56" s="35"/>
      <c r="B56" s="26"/>
      <c r="C56" s="26"/>
      <c r="D56" s="4" t="s">
        <v>8</v>
      </c>
      <c r="E56" s="2">
        <v>36.350430000000003</v>
      </c>
      <c r="F56" s="28"/>
      <c r="G56" s="38"/>
      <c r="H56" s="2">
        <v>43.539189999999998</v>
      </c>
      <c r="I56" s="28"/>
      <c r="J56" s="38"/>
      <c r="L56" s="31"/>
      <c r="M56" s="33"/>
      <c r="N56" s="26"/>
      <c r="O56" s="5" t="s">
        <v>8</v>
      </c>
      <c r="P56" s="2">
        <v>108.11972</v>
      </c>
      <c r="Q56" s="28"/>
      <c r="R56" s="38"/>
      <c r="S56" s="1">
        <v>28.484369999999998</v>
      </c>
      <c r="T56" s="31"/>
      <c r="U56" s="41"/>
    </row>
    <row r="57" spans="1:21" ht="16" x14ac:dyDescent="0.2">
      <c r="A57" s="35"/>
      <c r="B57" s="26"/>
      <c r="C57" s="26"/>
      <c r="D57" s="4" t="s">
        <v>9</v>
      </c>
      <c r="E57" s="2">
        <v>114.27122</v>
      </c>
      <c r="F57" s="28"/>
      <c r="G57" s="38"/>
      <c r="H57" s="2">
        <v>36.529710000000001</v>
      </c>
      <c r="I57" s="28"/>
      <c r="J57" s="38"/>
      <c r="L57" s="31"/>
      <c r="M57" s="33"/>
      <c r="N57" s="26"/>
      <c r="O57" s="5" t="s">
        <v>9</v>
      </c>
      <c r="P57" s="2">
        <v>128.66082</v>
      </c>
      <c r="Q57" s="28"/>
      <c r="R57" s="38"/>
      <c r="S57" s="1">
        <v>32.814349999999997</v>
      </c>
      <c r="T57" s="31"/>
      <c r="U57" s="41"/>
    </row>
    <row r="58" spans="1:21" ht="16" x14ac:dyDescent="0.2">
      <c r="A58" s="35"/>
      <c r="B58" s="26"/>
      <c r="C58" s="26"/>
      <c r="D58" s="4" t="s">
        <v>10</v>
      </c>
      <c r="E58" s="2">
        <v>86.822000000000003</v>
      </c>
      <c r="F58" s="28"/>
      <c r="G58" s="38"/>
      <c r="H58" s="2">
        <v>33.244720000000001</v>
      </c>
      <c r="I58" s="28"/>
      <c r="J58" s="38"/>
      <c r="L58" s="31"/>
      <c r="M58" s="33"/>
      <c r="N58" s="26"/>
      <c r="O58" s="5" t="s">
        <v>10</v>
      </c>
      <c r="P58" s="2">
        <v>149.46138000000002</v>
      </c>
      <c r="Q58" s="28"/>
      <c r="R58" s="38"/>
      <c r="S58" s="1">
        <v>26.508589999999998</v>
      </c>
      <c r="T58" s="31"/>
      <c r="U58" s="41"/>
    </row>
    <row r="59" spans="1:21" ht="16" x14ac:dyDescent="0.2">
      <c r="A59" s="35"/>
      <c r="B59" s="26"/>
      <c r="C59" s="26"/>
      <c r="D59" s="4" t="s">
        <v>11</v>
      </c>
      <c r="E59" s="2">
        <v>54.062169999999995</v>
      </c>
      <c r="F59" s="29"/>
      <c r="G59" s="38"/>
      <c r="H59" s="2">
        <v>31.506970000000003</v>
      </c>
      <c r="I59" s="29"/>
      <c r="J59" s="38"/>
      <c r="L59" s="31"/>
      <c r="M59" s="33"/>
      <c r="N59" s="26"/>
      <c r="O59" s="5" t="s">
        <v>11</v>
      </c>
      <c r="P59" s="2">
        <v>118.70423000000001</v>
      </c>
      <c r="Q59" s="29"/>
      <c r="R59" s="38"/>
      <c r="S59" s="1">
        <v>27.010900000000003</v>
      </c>
      <c r="T59" s="32"/>
      <c r="U59" s="41"/>
    </row>
    <row r="60" spans="1:21" ht="16" x14ac:dyDescent="0.2">
      <c r="A60" s="35"/>
      <c r="B60" s="26"/>
      <c r="C60" s="26">
        <v>2</v>
      </c>
      <c r="D60" s="4" t="s">
        <v>7</v>
      </c>
      <c r="E60" s="2">
        <v>17.62771</v>
      </c>
      <c r="F60" s="27">
        <f t="shared" ref="F60" si="44">AVERAGE(E60:E64)</f>
        <v>92.19137600000002</v>
      </c>
      <c r="G60" s="38"/>
      <c r="H60" s="2">
        <v>34.010849999999998</v>
      </c>
      <c r="I60" s="27">
        <f t="shared" ref="I60" si="45">AVERAGE(H60:H64)</f>
        <v>38.99193799999999</v>
      </c>
      <c r="J60" s="38"/>
      <c r="L60" s="31"/>
      <c r="M60" s="33"/>
      <c r="N60" s="26">
        <v>2</v>
      </c>
      <c r="O60" s="5" t="s">
        <v>7</v>
      </c>
      <c r="P60" s="2">
        <v>169.59704000000002</v>
      </c>
      <c r="Q60" s="27">
        <f t="shared" ref="Q60" si="46">AVERAGE(P60:P64)</f>
        <v>149.76514400000002</v>
      </c>
      <c r="R60" s="38"/>
      <c r="S60" s="1">
        <v>28.360869999999998</v>
      </c>
      <c r="T60" s="30">
        <f t="shared" ref="T60" si="47">AVERAGE(S60:S64)</f>
        <v>28.706667999999997</v>
      </c>
      <c r="U60" s="41"/>
    </row>
    <row r="61" spans="1:21" ht="16" x14ac:dyDescent="0.2">
      <c r="A61" s="35"/>
      <c r="B61" s="26"/>
      <c r="C61" s="26"/>
      <c r="D61" s="4" t="s">
        <v>8</v>
      </c>
      <c r="E61" s="2">
        <v>140.53752</v>
      </c>
      <c r="F61" s="28"/>
      <c r="G61" s="38"/>
      <c r="H61" s="2">
        <v>43.246629999999996</v>
      </c>
      <c r="I61" s="28"/>
      <c r="J61" s="38"/>
      <c r="L61" s="31"/>
      <c r="M61" s="33"/>
      <c r="N61" s="26"/>
      <c r="O61" s="5" t="s">
        <v>8</v>
      </c>
      <c r="P61" s="2">
        <v>119.53456</v>
      </c>
      <c r="Q61" s="28"/>
      <c r="R61" s="38"/>
      <c r="S61" s="1">
        <v>30.544619999999998</v>
      </c>
      <c r="T61" s="31"/>
      <c r="U61" s="41"/>
    </row>
    <row r="62" spans="1:21" ht="16" x14ac:dyDescent="0.2">
      <c r="A62" s="35"/>
      <c r="B62" s="26"/>
      <c r="C62" s="26"/>
      <c r="D62" s="4" t="s">
        <v>9</v>
      </c>
      <c r="E62" s="2">
        <v>59.137180000000001</v>
      </c>
      <c r="F62" s="28"/>
      <c r="G62" s="38"/>
      <c r="H62" s="2">
        <v>42.881610000000002</v>
      </c>
      <c r="I62" s="28"/>
      <c r="J62" s="38"/>
      <c r="L62" s="31"/>
      <c r="M62" s="33"/>
      <c r="N62" s="26"/>
      <c r="O62" s="5" t="s">
        <v>9</v>
      </c>
      <c r="P62" s="2">
        <v>154.06356</v>
      </c>
      <c r="Q62" s="28"/>
      <c r="R62" s="38"/>
      <c r="S62" s="1">
        <v>32.820839999999997</v>
      </c>
      <c r="T62" s="31"/>
      <c r="U62" s="41"/>
    </row>
    <row r="63" spans="1:21" ht="16" x14ac:dyDescent="0.2">
      <c r="A63" s="35"/>
      <c r="B63" s="26"/>
      <c r="C63" s="26"/>
      <c r="D63" s="4" t="s">
        <v>10</v>
      </c>
      <c r="E63" s="2">
        <v>77.372510000000005</v>
      </c>
      <c r="F63" s="28"/>
      <c r="G63" s="38"/>
      <c r="H63" s="2">
        <v>33.417090000000002</v>
      </c>
      <c r="I63" s="28"/>
      <c r="J63" s="38"/>
      <c r="L63" s="31"/>
      <c r="M63" s="33"/>
      <c r="N63" s="26"/>
      <c r="O63" s="5" t="s">
        <v>10</v>
      </c>
      <c r="P63" s="2">
        <v>172.97333999999998</v>
      </c>
      <c r="Q63" s="28"/>
      <c r="R63" s="38"/>
      <c r="S63" s="1">
        <v>22.539639999999999</v>
      </c>
      <c r="T63" s="31"/>
      <c r="U63" s="41"/>
    </row>
    <row r="64" spans="1:21" ht="16" x14ac:dyDescent="0.2">
      <c r="A64" s="35"/>
      <c r="B64" s="26"/>
      <c r="C64" s="26"/>
      <c r="D64" s="4" t="s">
        <v>11</v>
      </c>
      <c r="E64" s="2">
        <v>166.28196</v>
      </c>
      <c r="F64" s="29"/>
      <c r="G64" s="38"/>
      <c r="H64" s="2">
        <v>41.403509999999997</v>
      </c>
      <c r="I64" s="29"/>
      <c r="J64" s="38"/>
      <c r="L64" s="31"/>
      <c r="M64" s="33"/>
      <c r="N64" s="26"/>
      <c r="O64" s="5" t="s">
        <v>11</v>
      </c>
      <c r="P64" s="2">
        <v>132.65722</v>
      </c>
      <c r="Q64" s="29"/>
      <c r="R64" s="38"/>
      <c r="S64" s="1">
        <v>29.26737</v>
      </c>
      <c r="T64" s="32"/>
      <c r="U64" s="41"/>
    </row>
    <row r="65" spans="1:21" ht="16" x14ac:dyDescent="0.2">
      <c r="A65" s="35"/>
      <c r="B65" s="26"/>
      <c r="C65" s="26">
        <v>3</v>
      </c>
      <c r="D65" s="4" t="s">
        <v>7</v>
      </c>
      <c r="E65" s="2">
        <v>147.45054999999999</v>
      </c>
      <c r="F65" s="27">
        <f t="shared" ref="F65" si="48">AVERAGE(E65:E69)</f>
        <v>84.916933999999998</v>
      </c>
      <c r="G65" s="38"/>
      <c r="H65" s="2">
        <v>36.157310000000003</v>
      </c>
      <c r="I65" s="27">
        <f t="shared" ref="I65" si="49">AVERAGE(H65:H69)</f>
        <v>39.296852000000001</v>
      </c>
      <c r="J65" s="38"/>
      <c r="L65" s="31"/>
      <c r="M65" s="33"/>
      <c r="N65" s="26">
        <v>3</v>
      </c>
      <c r="O65" s="5" t="s">
        <v>7</v>
      </c>
      <c r="P65" s="2">
        <v>161.80123</v>
      </c>
      <c r="Q65" s="27">
        <f t="shared" ref="Q65" si="50">AVERAGE(P65:P69)</f>
        <v>138.101788</v>
      </c>
      <c r="R65" s="38"/>
      <c r="S65" s="1">
        <v>28.457330000000002</v>
      </c>
      <c r="T65" s="30">
        <f t="shared" ref="T65" si="51">AVERAGE(S65:S69)</f>
        <v>31.226426000000004</v>
      </c>
      <c r="U65" s="41"/>
    </row>
    <row r="66" spans="1:21" ht="16" x14ac:dyDescent="0.2">
      <c r="A66" s="35"/>
      <c r="B66" s="26"/>
      <c r="C66" s="26"/>
      <c r="D66" s="4" t="s">
        <v>8</v>
      </c>
      <c r="E66" s="2">
        <v>79.686109999999999</v>
      </c>
      <c r="F66" s="28"/>
      <c r="G66" s="38"/>
      <c r="H66" s="2">
        <v>40.940349999999995</v>
      </c>
      <c r="I66" s="28"/>
      <c r="J66" s="38"/>
      <c r="L66" s="31"/>
      <c r="M66" s="33"/>
      <c r="N66" s="26"/>
      <c r="O66" s="5" t="s">
        <v>8</v>
      </c>
      <c r="P66" s="2">
        <v>105.29109</v>
      </c>
      <c r="Q66" s="28"/>
      <c r="R66" s="38"/>
      <c r="S66" s="1">
        <v>34.029170000000001</v>
      </c>
      <c r="T66" s="31"/>
      <c r="U66" s="41"/>
    </row>
    <row r="67" spans="1:21" ht="16" x14ac:dyDescent="0.2">
      <c r="A67" s="35"/>
      <c r="B67" s="26"/>
      <c r="C67" s="26"/>
      <c r="D67" s="4" t="s">
        <v>9</v>
      </c>
      <c r="E67" s="2">
        <v>71.008870000000002</v>
      </c>
      <c r="F67" s="28"/>
      <c r="G67" s="38"/>
      <c r="H67" s="2">
        <v>35.142049999999998</v>
      </c>
      <c r="I67" s="28"/>
      <c r="J67" s="38"/>
      <c r="L67" s="31"/>
      <c r="M67" s="33"/>
      <c r="N67" s="26"/>
      <c r="O67" s="5" t="s">
        <v>9</v>
      </c>
      <c r="P67" s="2">
        <v>154.11653000000001</v>
      </c>
      <c r="Q67" s="28"/>
      <c r="R67" s="38"/>
      <c r="S67" s="1">
        <v>29.181010000000001</v>
      </c>
      <c r="T67" s="31"/>
      <c r="U67" s="41"/>
    </row>
    <row r="68" spans="1:21" ht="16" x14ac:dyDescent="0.2">
      <c r="A68" s="35"/>
      <c r="B68" s="26"/>
      <c r="C68" s="26"/>
      <c r="D68" s="4" t="s">
        <v>10</v>
      </c>
      <c r="E68" s="2">
        <v>14.9246</v>
      </c>
      <c r="F68" s="28"/>
      <c r="G68" s="38"/>
      <c r="H68" s="2">
        <v>43.388130000000004</v>
      </c>
      <c r="I68" s="28"/>
      <c r="J68" s="38"/>
      <c r="L68" s="31"/>
      <c r="M68" s="33"/>
      <c r="N68" s="26"/>
      <c r="O68" s="5" t="s">
        <v>10</v>
      </c>
      <c r="P68" s="2">
        <v>103.63385</v>
      </c>
      <c r="Q68" s="28"/>
      <c r="R68" s="38"/>
      <c r="S68" s="1">
        <v>31.560379999999999</v>
      </c>
      <c r="T68" s="31"/>
      <c r="U68" s="41"/>
    </row>
    <row r="69" spans="1:21" ht="16" x14ac:dyDescent="0.2">
      <c r="A69" s="35"/>
      <c r="B69" s="26"/>
      <c r="C69" s="26"/>
      <c r="D69" s="4" t="s">
        <v>11</v>
      </c>
      <c r="E69" s="2">
        <v>111.51454</v>
      </c>
      <c r="F69" s="29"/>
      <c r="G69" s="38"/>
      <c r="H69" s="2">
        <v>40.85642</v>
      </c>
      <c r="I69" s="29"/>
      <c r="J69" s="38"/>
      <c r="L69" s="31"/>
      <c r="M69" s="33"/>
      <c r="N69" s="26"/>
      <c r="O69" s="5" t="s">
        <v>11</v>
      </c>
      <c r="P69" s="2">
        <v>165.66623999999999</v>
      </c>
      <c r="Q69" s="29"/>
      <c r="R69" s="38"/>
      <c r="S69" s="1">
        <v>32.904240000000001</v>
      </c>
      <c r="T69" s="32"/>
      <c r="U69" s="41"/>
    </row>
    <row r="70" spans="1:21" ht="16" x14ac:dyDescent="0.2">
      <c r="A70" s="35"/>
      <c r="B70" s="26"/>
      <c r="C70" s="26">
        <v>4</v>
      </c>
      <c r="D70" s="4" t="s">
        <v>7</v>
      </c>
      <c r="E70" s="2">
        <v>148.46</v>
      </c>
      <c r="F70" s="27">
        <f t="shared" ref="F70" si="52">AVERAGE(E70:E74)</f>
        <v>92.109020000000015</v>
      </c>
      <c r="G70" s="38"/>
      <c r="H70" s="2">
        <v>40.849050000000005</v>
      </c>
      <c r="I70" s="27">
        <f t="shared" ref="I70" si="53">AVERAGE(H70:H74)</f>
        <v>38.125802000000007</v>
      </c>
      <c r="J70" s="38"/>
      <c r="L70" s="31"/>
      <c r="M70" s="33"/>
      <c r="N70" s="26">
        <v>4</v>
      </c>
      <c r="O70" s="5" t="s">
        <v>7</v>
      </c>
      <c r="P70" s="2">
        <v>190.43136999999999</v>
      </c>
      <c r="Q70" s="27">
        <f t="shared" ref="Q70" si="54">AVERAGE(P70:P74)</f>
        <v>140.697866</v>
      </c>
      <c r="R70" s="38"/>
      <c r="S70" s="1">
        <v>41.555889999999998</v>
      </c>
      <c r="T70" s="30">
        <f t="shared" ref="T70" si="55">AVERAGE(S70:S74)</f>
        <v>32.289169999999999</v>
      </c>
      <c r="U70" s="41"/>
    </row>
    <row r="71" spans="1:21" ht="16" x14ac:dyDescent="0.2">
      <c r="A71" s="35"/>
      <c r="B71" s="26"/>
      <c r="C71" s="26"/>
      <c r="D71" s="4" t="s">
        <v>8</v>
      </c>
      <c r="E71" s="2">
        <v>78.277960000000007</v>
      </c>
      <c r="F71" s="28"/>
      <c r="G71" s="38"/>
      <c r="H71" s="2">
        <v>34.24062</v>
      </c>
      <c r="I71" s="28"/>
      <c r="J71" s="38"/>
      <c r="L71" s="31"/>
      <c r="M71" s="33"/>
      <c r="N71" s="26"/>
      <c r="O71" s="5" t="s">
        <v>8</v>
      </c>
      <c r="P71" s="2">
        <v>114.62667999999999</v>
      </c>
      <c r="Q71" s="28"/>
      <c r="R71" s="38"/>
      <c r="S71" s="1">
        <v>27.497810000000001</v>
      </c>
      <c r="T71" s="31"/>
      <c r="U71" s="41"/>
    </row>
    <row r="72" spans="1:21" ht="16" x14ac:dyDescent="0.2">
      <c r="A72" s="35"/>
      <c r="B72" s="26"/>
      <c r="C72" s="26"/>
      <c r="D72" s="4" t="s">
        <v>9</v>
      </c>
      <c r="E72" s="2">
        <v>23.744630000000001</v>
      </c>
      <c r="F72" s="28"/>
      <c r="G72" s="38"/>
      <c r="H72" s="2">
        <v>38.168010000000002</v>
      </c>
      <c r="I72" s="28"/>
      <c r="J72" s="38"/>
      <c r="L72" s="31"/>
      <c r="M72" s="33"/>
      <c r="N72" s="26"/>
      <c r="O72" s="5" t="s">
        <v>9</v>
      </c>
      <c r="P72" s="2">
        <v>160.95913000000002</v>
      </c>
      <c r="Q72" s="28"/>
      <c r="R72" s="38"/>
      <c r="S72" s="1">
        <v>26.453020000000002</v>
      </c>
      <c r="T72" s="31"/>
      <c r="U72" s="41"/>
    </row>
    <row r="73" spans="1:21" ht="16" x14ac:dyDescent="0.2">
      <c r="A73" s="35"/>
      <c r="B73" s="26"/>
      <c r="C73" s="26"/>
      <c r="D73" s="4" t="s">
        <v>10</v>
      </c>
      <c r="E73" s="2">
        <v>60.539939999999994</v>
      </c>
      <c r="F73" s="28"/>
      <c r="G73" s="38"/>
      <c r="H73" s="2">
        <v>42.051790000000004</v>
      </c>
      <c r="I73" s="28"/>
      <c r="J73" s="38"/>
      <c r="L73" s="31"/>
      <c r="M73" s="33"/>
      <c r="N73" s="26"/>
      <c r="O73" s="5" t="s">
        <v>10</v>
      </c>
      <c r="P73" s="2">
        <v>101.63472</v>
      </c>
      <c r="Q73" s="28"/>
      <c r="R73" s="38"/>
      <c r="S73" s="1">
        <v>32.936770000000003</v>
      </c>
      <c r="T73" s="31"/>
      <c r="U73" s="41"/>
    </row>
    <row r="74" spans="1:21" ht="16" x14ac:dyDescent="0.2">
      <c r="A74" s="35"/>
      <c r="B74" s="26"/>
      <c r="C74" s="26"/>
      <c r="D74" s="4" t="s">
        <v>11</v>
      </c>
      <c r="E74" s="2">
        <v>149.52257</v>
      </c>
      <c r="F74" s="29"/>
      <c r="G74" s="38"/>
      <c r="H74" s="2">
        <v>35.319540000000003</v>
      </c>
      <c r="I74" s="29"/>
      <c r="J74" s="38"/>
      <c r="L74" s="31"/>
      <c r="M74" s="33"/>
      <c r="N74" s="26"/>
      <c r="O74" s="5" t="s">
        <v>11</v>
      </c>
      <c r="P74" s="2">
        <v>135.83743000000001</v>
      </c>
      <c r="Q74" s="29"/>
      <c r="R74" s="38"/>
      <c r="S74" s="1">
        <v>33.002359999999996</v>
      </c>
      <c r="T74" s="32"/>
      <c r="U74" s="41"/>
    </row>
    <row r="75" spans="1:21" ht="16" x14ac:dyDescent="0.2">
      <c r="A75" s="35"/>
      <c r="B75" s="26"/>
      <c r="C75" s="26">
        <v>5</v>
      </c>
      <c r="D75" s="4" t="s">
        <v>7</v>
      </c>
      <c r="E75" s="2">
        <v>136.79059999999998</v>
      </c>
      <c r="F75" s="27">
        <f t="shared" ref="F75" si="56">AVERAGE(E75:E79)</f>
        <v>99.019877999999991</v>
      </c>
      <c r="G75" s="38"/>
      <c r="H75" s="2">
        <v>40.97728</v>
      </c>
      <c r="I75" s="27">
        <f t="shared" ref="I75" si="57">AVERAGE(H75:H79)</f>
        <v>39.597022000000003</v>
      </c>
      <c r="J75" s="38"/>
      <c r="L75" s="31"/>
      <c r="M75" s="33"/>
      <c r="N75" s="26">
        <v>5</v>
      </c>
      <c r="O75" s="5" t="s">
        <v>7</v>
      </c>
      <c r="P75" s="2">
        <v>181.01937000000001</v>
      </c>
      <c r="Q75" s="27">
        <f t="shared" ref="Q75" si="58">AVERAGE(P75:P79)</f>
        <v>136.578362</v>
      </c>
      <c r="R75" s="38"/>
      <c r="S75" s="1">
        <v>27.380050000000001</v>
      </c>
      <c r="T75" s="30">
        <f t="shared" ref="T75" si="59">AVERAGE(S75:S79)</f>
        <v>29.632467999999999</v>
      </c>
      <c r="U75" s="41"/>
    </row>
    <row r="76" spans="1:21" ht="16" x14ac:dyDescent="0.2">
      <c r="A76" s="35"/>
      <c r="B76" s="26"/>
      <c r="C76" s="26"/>
      <c r="D76" s="4" t="s">
        <v>8</v>
      </c>
      <c r="E76" s="2">
        <v>36.630830000000003</v>
      </c>
      <c r="F76" s="28"/>
      <c r="G76" s="38"/>
      <c r="H76" s="2">
        <v>45.538599999999995</v>
      </c>
      <c r="I76" s="28"/>
      <c r="J76" s="38"/>
      <c r="L76" s="31"/>
      <c r="M76" s="33"/>
      <c r="N76" s="26"/>
      <c r="O76" s="5" t="s">
        <v>8</v>
      </c>
      <c r="P76" s="2">
        <v>133.93012000000002</v>
      </c>
      <c r="Q76" s="28"/>
      <c r="R76" s="38"/>
      <c r="S76" s="1">
        <v>30.350169999999999</v>
      </c>
      <c r="T76" s="31"/>
      <c r="U76" s="41"/>
    </row>
    <row r="77" spans="1:21" ht="16" x14ac:dyDescent="0.2">
      <c r="A77" s="35"/>
      <c r="B77" s="26"/>
      <c r="C77" s="26"/>
      <c r="D77" s="4" t="s">
        <v>9</v>
      </c>
      <c r="E77" s="2">
        <v>79.375169999999997</v>
      </c>
      <c r="F77" s="28"/>
      <c r="G77" s="38"/>
      <c r="H77" s="2">
        <v>35.664099999999998</v>
      </c>
      <c r="I77" s="28"/>
      <c r="J77" s="38"/>
      <c r="L77" s="31"/>
      <c r="M77" s="33"/>
      <c r="N77" s="26"/>
      <c r="O77" s="5" t="s">
        <v>9</v>
      </c>
      <c r="P77" s="2">
        <v>134.07640000000001</v>
      </c>
      <c r="Q77" s="28"/>
      <c r="R77" s="38"/>
      <c r="S77" s="1">
        <v>26.47335</v>
      </c>
      <c r="T77" s="31"/>
      <c r="U77" s="41"/>
    </row>
    <row r="78" spans="1:21" ht="16" x14ac:dyDescent="0.2">
      <c r="A78" s="35"/>
      <c r="B78" s="26"/>
      <c r="C78" s="26"/>
      <c r="D78" s="4" t="s">
        <v>10</v>
      </c>
      <c r="E78" s="2">
        <v>101.61259</v>
      </c>
      <c r="F78" s="28"/>
      <c r="G78" s="38"/>
      <c r="H78" s="2">
        <v>34.779330000000002</v>
      </c>
      <c r="I78" s="28"/>
      <c r="J78" s="38"/>
      <c r="L78" s="31"/>
      <c r="M78" s="33"/>
      <c r="N78" s="26"/>
      <c r="O78" s="5" t="s">
        <v>10</v>
      </c>
      <c r="P78" s="2">
        <v>133.89806000000002</v>
      </c>
      <c r="Q78" s="28"/>
      <c r="R78" s="38"/>
      <c r="S78" s="1">
        <v>27.815020000000001</v>
      </c>
      <c r="T78" s="31"/>
      <c r="U78" s="41"/>
    </row>
    <row r="79" spans="1:21" ht="16" x14ac:dyDescent="0.2">
      <c r="A79" s="36"/>
      <c r="B79" s="26"/>
      <c r="C79" s="26"/>
      <c r="D79" s="4" t="s">
        <v>11</v>
      </c>
      <c r="E79" s="2">
        <v>140.6902</v>
      </c>
      <c r="F79" s="29"/>
      <c r="G79" s="39"/>
      <c r="H79" s="2">
        <v>41.025799999999997</v>
      </c>
      <c r="I79" s="29"/>
      <c r="J79" s="39"/>
      <c r="L79" s="32"/>
      <c r="M79" s="33"/>
      <c r="N79" s="26"/>
      <c r="O79" s="5" t="s">
        <v>11</v>
      </c>
      <c r="P79" s="2">
        <v>99.967860000000002</v>
      </c>
      <c r="Q79" s="29"/>
      <c r="R79" s="39"/>
      <c r="S79" s="1">
        <v>36.143749999999997</v>
      </c>
      <c r="T79" s="32"/>
      <c r="U79" s="42"/>
    </row>
    <row r="80" spans="1:21" ht="16" x14ac:dyDescent="0.2">
      <c r="A80" s="30" t="s">
        <v>1</v>
      </c>
      <c r="B80" s="33">
        <v>1</v>
      </c>
      <c r="C80" s="26">
        <v>1</v>
      </c>
      <c r="D80" s="4" t="s">
        <v>7</v>
      </c>
      <c r="E80" s="2">
        <v>97.586430000000007</v>
      </c>
      <c r="F80" s="27">
        <f t="shared" ref="F80" si="60">AVERAGE(E80:E84)</f>
        <v>92.772327999999987</v>
      </c>
      <c r="G80" s="37">
        <f>AVERAGE(F80:F104)</f>
        <v>88.719644400000021</v>
      </c>
      <c r="H80" s="2">
        <v>37.58643</v>
      </c>
      <c r="I80" s="27">
        <f t="shared" ref="I80" si="61">AVERAGE(H80:H84)</f>
        <v>38.772328000000002</v>
      </c>
      <c r="J80" s="37">
        <f t="shared" ref="J80" si="62">AVERAGE(I80:I104)</f>
        <v>37.639644400000002</v>
      </c>
      <c r="L80" s="30" t="s">
        <v>18</v>
      </c>
      <c r="M80" s="33">
        <v>1</v>
      </c>
      <c r="N80" s="26">
        <v>1</v>
      </c>
      <c r="O80" s="5" t="s">
        <v>7</v>
      </c>
      <c r="P80" s="2">
        <v>120.73457000000001</v>
      </c>
      <c r="Q80" s="27">
        <f t="shared" ref="Q80" si="63">AVERAGE(P80:P84)</f>
        <v>112.87729400000001</v>
      </c>
      <c r="R80" s="37">
        <f t="shared" ref="R80" si="64">AVERAGE(Q80:Q104)</f>
        <v>124.61816359999997</v>
      </c>
      <c r="S80" s="1">
        <v>26.039340000000003</v>
      </c>
      <c r="T80" s="30">
        <f t="shared" ref="T80" si="65">AVERAGE(S80:S84)</f>
        <v>30.239012000000002</v>
      </c>
      <c r="U80" s="40">
        <f t="shared" ref="U80" si="66">AVERAGE(T80:T104)</f>
        <v>30.267147600000005</v>
      </c>
    </row>
    <row r="81" spans="1:21" ht="16" x14ac:dyDescent="0.2">
      <c r="A81" s="31"/>
      <c r="B81" s="33"/>
      <c r="C81" s="26"/>
      <c r="D81" s="4" t="s">
        <v>8</v>
      </c>
      <c r="E81" s="2">
        <v>42.550319999999999</v>
      </c>
      <c r="F81" s="28"/>
      <c r="G81" s="38"/>
      <c r="H81" s="2">
        <v>42.550319999999999</v>
      </c>
      <c r="I81" s="28"/>
      <c r="J81" s="38"/>
      <c r="L81" s="31"/>
      <c r="M81" s="33"/>
      <c r="N81" s="26"/>
      <c r="O81" s="5" t="s">
        <v>8</v>
      </c>
      <c r="P81" s="2">
        <v>104.49669</v>
      </c>
      <c r="Q81" s="28"/>
      <c r="R81" s="38"/>
      <c r="S81" s="1">
        <v>31.066590000000001</v>
      </c>
      <c r="T81" s="31"/>
      <c r="U81" s="41"/>
    </row>
    <row r="82" spans="1:21" ht="16" x14ac:dyDescent="0.2">
      <c r="A82" s="31"/>
      <c r="B82" s="33"/>
      <c r="C82" s="26"/>
      <c r="D82" s="4" t="s">
        <v>9</v>
      </c>
      <c r="E82" s="2">
        <v>100.50425999999999</v>
      </c>
      <c r="F82" s="28"/>
      <c r="G82" s="38"/>
      <c r="H82" s="2">
        <v>40.504260000000002</v>
      </c>
      <c r="I82" s="28"/>
      <c r="J82" s="38"/>
      <c r="L82" s="31"/>
      <c r="M82" s="33"/>
      <c r="N82" s="26"/>
      <c r="O82" s="5" t="s">
        <v>9</v>
      </c>
      <c r="P82" s="2">
        <v>116.72495000000001</v>
      </c>
      <c r="Q82" s="28"/>
      <c r="R82" s="38"/>
      <c r="S82" s="1">
        <v>32.468040000000002</v>
      </c>
      <c r="T82" s="31"/>
      <c r="U82" s="41"/>
    </row>
    <row r="83" spans="1:21" ht="16" x14ac:dyDescent="0.2">
      <c r="A83" s="31"/>
      <c r="B83" s="33"/>
      <c r="C83" s="26"/>
      <c r="D83" s="4" t="s">
        <v>10</v>
      </c>
      <c r="E83" s="2">
        <v>120.27911</v>
      </c>
      <c r="F83" s="28"/>
      <c r="G83" s="38"/>
      <c r="H83" s="2">
        <v>40.279110000000003</v>
      </c>
      <c r="I83" s="28"/>
      <c r="J83" s="38"/>
      <c r="L83" s="31"/>
      <c r="M83" s="33"/>
      <c r="N83" s="26"/>
      <c r="O83" s="5" t="s">
        <v>10</v>
      </c>
      <c r="P83" s="2">
        <v>104.6306</v>
      </c>
      <c r="Q83" s="28"/>
      <c r="R83" s="38"/>
      <c r="S83" s="1">
        <v>31.234020000000001</v>
      </c>
      <c r="T83" s="31"/>
      <c r="U83" s="41"/>
    </row>
    <row r="84" spans="1:21" ht="16" x14ac:dyDescent="0.2">
      <c r="A84" s="31"/>
      <c r="B84" s="33"/>
      <c r="C84" s="26"/>
      <c r="D84" s="4" t="s">
        <v>11</v>
      </c>
      <c r="E84" s="2">
        <v>102.94152</v>
      </c>
      <c r="F84" s="29"/>
      <c r="G84" s="38"/>
      <c r="H84" s="2">
        <v>32.941519999999997</v>
      </c>
      <c r="I84" s="29"/>
      <c r="J84" s="38"/>
      <c r="L84" s="31"/>
      <c r="M84" s="33"/>
      <c r="N84" s="26"/>
      <c r="O84" s="5" t="s">
        <v>11</v>
      </c>
      <c r="P84" s="2">
        <v>117.79966</v>
      </c>
      <c r="Q84" s="29"/>
      <c r="R84" s="38"/>
      <c r="S84" s="1">
        <v>30.387069999999998</v>
      </c>
      <c r="T84" s="32"/>
      <c r="U84" s="41"/>
    </row>
    <row r="85" spans="1:21" ht="16" x14ac:dyDescent="0.2">
      <c r="A85" s="31"/>
      <c r="B85" s="33"/>
      <c r="C85" s="26">
        <v>2</v>
      </c>
      <c r="D85" s="4" t="s">
        <v>7</v>
      </c>
      <c r="E85" s="2">
        <v>107.12736000000001</v>
      </c>
      <c r="F85" s="27">
        <f t="shared" ref="F85" si="67">AVERAGE(E85:E89)</f>
        <v>98.355040000000002</v>
      </c>
      <c r="G85" s="38"/>
      <c r="H85" s="2">
        <v>37.127359999999996</v>
      </c>
      <c r="I85" s="27">
        <f t="shared" ref="I85" si="68">AVERAGE(H85:H89)</f>
        <v>36.955039999999997</v>
      </c>
      <c r="J85" s="38"/>
      <c r="L85" s="31"/>
      <c r="M85" s="33"/>
      <c r="N85" s="26">
        <v>2</v>
      </c>
      <c r="O85" s="5" t="s">
        <v>7</v>
      </c>
      <c r="P85" s="2">
        <v>122.85906000000001</v>
      </c>
      <c r="Q85" s="27">
        <f t="shared" ref="Q85" si="69">AVERAGE(P85:P89)</f>
        <v>125.95115200000001</v>
      </c>
      <c r="R85" s="38"/>
      <c r="S85" s="1">
        <v>34.716030000000003</v>
      </c>
      <c r="T85" s="30">
        <f t="shared" ref="T85" si="70">AVERAGE(S85:S89)</f>
        <v>31.015917999999999</v>
      </c>
      <c r="U85" s="41"/>
    </row>
    <row r="86" spans="1:21" ht="16" x14ac:dyDescent="0.2">
      <c r="A86" s="31"/>
      <c r="B86" s="33"/>
      <c r="C86" s="26"/>
      <c r="D86" s="4" t="s">
        <v>8</v>
      </c>
      <c r="E86" s="2">
        <v>91.78370000000001</v>
      </c>
      <c r="F86" s="28"/>
      <c r="G86" s="38"/>
      <c r="H86" s="2">
        <v>41.783699999999996</v>
      </c>
      <c r="I86" s="28"/>
      <c r="J86" s="38"/>
      <c r="L86" s="31"/>
      <c r="M86" s="33"/>
      <c r="N86" s="26"/>
      <c r="O86" s="5" t="s">
        <v>8</v>
      </c>
      <c r="P86" s="2">
        <v>179.59178</v>
      </c>
      <c r="Q86" s="28"/>
      <c r="R86" s="38"/>
      <c r="S86" s="1">
        <v>22.707719999999998</v>
      </c>
      <c r="T86" s="31"/>
      <c r="U86" s="41"/>
    </row>
    <row r="87" spans="1:21" ht="16" x14ac:dyDescent="0.2">
      <c r="A87" s="31"/>
      <c r="B87" s="33"/>
      <c r="C87" s="26"/>
      <c r="D87" s="4" t="s">
        <v>9</v>
      </c>
      <c r="E87" s="2">
        <v>97.588340000000002</v>
      </c>
      <c r="F87" s="28"/>
      <c r="G87" s="38"/>
      <c r="H87" s="2">
        <v>40.588339999999995</v>
      </c>
      <c r="I87" s="28"/>
      <c r="J87" s="38"/>
      <c r="L87" s="31"/>
      <c r="M87" s="33"/>
      <c r="N87" s="26"/>
      <c r="O87" s="5" t="s">
        <v>9</v>
      </c>
      <c r="P87" s="2">
        <v>114.20098</v>
      </c>
      <c r="Q87" s="28"/>
      <c r="R87" s="38"/>
      <c r="S87" s="1">
        <v>31.139580000000002</v>
      </c>
      <c r="T87" s="31"/>
      <c r="U87" s="41"/>
    </row>
    <row r="88" spans="1:21" ht="16" x14ac:dyDescent="0.2">
      <c r="A88" s="31"/>
      <c r="B88" s="33"/>
      <c r="C88" s="26"/>
      <c r="D88" s="4" t="s">
        <v>10</v>
      </c>
      <c r="E88" s="2">
        <v>103.07201999999999</v>
      </c>
      <c r="F88" s="28"/>
      <c r="G88" s="38"/>
      <c r="H88" s="2">
        <v>33.072020000000002</v>
      </c>
      <c r="I88" s="28"/>
      <c r="J88" s="38"/>
      <c r="L88" s="31"/>
      <c r="M88" s="33"/>
      <c r="N88" s="26"/>
      <c r="O88" s="5" t="s">
        <v>10</v>
      </c>
      <c r="P88" s="2">
        <v>106.00968999999999</v>
      </c>
      <c r="Q88" s="28"/>
      <c r="R88" s="38"/>
      <c r="S88" s="1">
        <v>29.615449999999999</v>
      </c>
      <c r="T88" s="31"/>
      <c r="U88" s="41"/>
    </row>
    <row r="89" spans="1:21" ht="16" x14ac:dyDescent="0.2">
      <c r="A89" s="31"/>
      <c r="B89" s="33"/>
      <c r="C89" s="26"/>
      <c r="D89" s="4" t="s">
        <v>11</v>
      </c>
      <c r="E89" s="2">
        <v>92.203780000000009</v>
      </c>
      <c r="F89" s="29"/>
      <c r="G89" s="38"/>
      <c r="H89" s="2">
        <v>32.203780000000002</v>
      </c>
      <c r="I89" s="29"/>
      <c r="J89" s="38"/>
      <c r="L89" s="31"/>
      <c r="M89" s="33"/>
      <c r="N89" s="26"/>
      <c r="O89" s="5" t="s">
        <v>11</v>
      </c>
      <c r="P89" s="2">
        <v>107.09424999999999</v>
      </c>
      <c r="Q89" s="29"/>
      <c r="R89" s="38"/>
      <c r="S89" s="1">
        <v>36.90081</v>
      </c>
      <c r="T89" s="32"/>
      <c r="U89" s="41"/>
    </row>
    <row r="90" spans="1:21" ht="16" x14ac:dyDescent="0.2">
      <c r="A90" s="31"/>
      <c r="B90" s="33"/>
      <c r="C90" s="26">
        <v>3</v>
      </c>
      <c r="D90" s="4" t="s">
        <v>7</v>
      </c>
      <c r="E90" s="2">
        <v>104.61812</v>
      </c>
      <c r="F90" s="27">
        <f t="shared" ref="F90" si="71">AVERAGE(E90:E94)</f>
        <v>96.796841999999998</v>
      </c>
      <c r="G90" s="38"/>
      <c r="H90" s="2">
        <v>34.618119999999998</v>
      </c>
      <c r="I90" s="27">
        <f t="shared" ref="I90" si="72">AVERAGE(H90:H94)</f>
        <v>36.796842000000005</v>
      </c>
      <c r="J90" s="38"/>
      <c r="L90" s="31"/>
      <c r="M90" s="33"/>
      <c r="N90" s="26">
        <v>3</v>
      </c>
      <c r="O90" s="5" t="s">
        <v>7</v>
      </c>
      <c r="P90" s="2">
        <v>87.484770000000012</v>
      </c>
      <c r="Q90" s="27">
        <f t="shared" ref="Q90" si="73">AVERAGE(P90:P94)</f>
        <v>137.96505999999999</v>
      </c>
      <c r="R90" s="38"/>
      <c r="S90" s="1">
        <v>29.294090000000001</v>
      </c>
      <c r="T90" s="30">
        <f t="shared" ref="T90" si="74">AVERAGE(S90:S94)</f>
        <v>28.396201999999999</v>
      </c>
      <c r="U90" s="41"/>
    </row>
    <row r="91" spans="1:21" ht="16" x14ac:dyDescent="0.2">
      <c r="A91" s="31"/>
      <c r="B91" s="33"/>
      <c r="C91" s="26"/>
      <c r="D91" s="4" t="s">
        <v>8</v>
      </c>
      <c r="E91" s="2">
        <v>98.528850000000006</v>
      </c>
      <c r="F91" s="28"/>
      <c r="G91" s="38"/>
      <c r="H91" s="2">
        <v>38.528850000000006</v>
      </c>
      <c r="I91" s="28"/>
      <c r="J91" s="38"/>
      <c r="L91" s="31"/>
      <c r="M91" s="33"/>
      <c r="N91" s="26"/>
      <c r="O91" s="5" t="s">
        <v>8</v>
      </c>
      <c r="P91" s="2">
        <v>85.697450000000003</v>
      </c>
      <c r="Q91" s="28"/>
      <c r="R91" s="38"/>
      <c r="S91" s="1">
        <v>25.863780000000002</v>
      </c>
      <c r="T91" s="31"/>
      <c r="U91" s="41"/>
    </row>
    <row r="92" spans="1:21" ht="16" x14ac:dyDescent="0.2">
      <c r="A92" s="31"/>
      <c r="B92" s="33"/>
      <c r="C92" s="26"/>
      <c r="D92" s="4" t="s">
        <v>9</v>
      </c>
      <c r="E92" s="2">
        <v>109.52123</v>
      </c>
      <c r="F92" s="28"/>
      <c r="G92" s="38"/>
      <c r="H92" s="2">
        <v>39.521230000000003</v>
      </c>
      <c r="I92" s="28"/>
      <c r="J92" s="38"/>
      <c r="L92" s="31"/>
      <c r="M92" s="33"/>
      <c r="N92" s="26"/>
      <c r="O92" s="5" t="s">
        <v>9</v>
      </c>
      <c r="P92" s="2">
        <v>189.44111000000001</v>
      </c>
      <c r="Q92" s="28"/>
      <c r="R92" s="38"/>
      <c r="S92" s="1">
        <v>31.86159</v>
      </c>
      <c r="T92" s="31"/>
      <c r="U92" s="41"/>
    </row>
    <row r="93" spans="1:21" ht="16" x14ac:dyDescent="0.2">
      <c r="A93" s="31"/>
      <c r="B93" s="33"/>
      <c r="C93" s="26"/>
      <c r="D93" s="4" t="s">
        <v>10</v>
      </c>
      <c r="E93" s="2">
        <v>66.041470000000004</v>
      </c>
      <c r="F93" s="28"/>
      <c r="G93" s="38"/>
      <c r="H93" s="2">
        <v>36.041469999999997</v>
      </c>
      <c r="I93" s="28"/>
      <c r="J93" s="38"/>
      <c r="L93" s="31"/>
      <c r="M93" s="33"/>
      <c r="N93" s="26"/>
      <c r="O93" s="5" t="s">
        <v>10</v>
      </c>
      <c r="P93" s="2">
        <v>171.88928999999999</v>
      </c>
      <c r="Q93" s="28"/>
      <c r="R93" s="38"/>
      <c r="S93" s="1">
        <v>25.12003</v>
      </c>
      <c r="T93" s="31"/>
      <c r="U93" s="41"/>
    </row>
    <row r="94" spans="1:21" ht="16" x14ac:dyDescent="0.2">
      <c r="A94" s="31"/>
      <c r="B94" s="33"/>
      <c r="C94" s="26"/>
      <c r="D94" s="4" t="s">
        <v>11</v>
      </c>
      <c r="E94" s="2">
        <v>105.27454</v>
      </c>
      <c r="F94" s="29"/>
      <c r="G94" s="38"/>
      <c r="H94" s="2">
        <v>35.274540000000002</v>
      </c>
      <c r="I94" s="29"/>
      <c r="J94" s="38"/>
      <c r="L94" s="31"/>
      <c r="M94" s="33"/>
      <c r="N94" s="26"/>
      <c r="O94" s="5" t="s">
        <v>11</v>
      </c>
      <c r="P94" s="2">
        <v>155.31268</v>
      </c>
      <c r="Q94" s="29"/>
      <c r="R94" s="38"/>
      <c r="S94" s="1">
        <v>29.841519999999999</v>
      </c>
      <c r="T94" s="32"/>
      <c r="U94" s="41"/>
    </row>
    <row r="95" spans="1:21" ht="16" x14ac:dyDescent="0.2">
      <c r="A95" s="31"/>
      <c r="B95" s="33"/>
      <c r="C95" s="26">
        <v>4</v>
      </c>
      <c r="D95" s="4" t="s">
        <v>7</v>
      </c>
      <c r="E95" s="2">
        <v>108.41102000000001</v>
      </c>
      <c r="F95" s="27">
        <f t="shared" ref="F95" si="75">AVERAGE(E95:E99)</f>
        <v>85.852789999999999</v>
      </c>
      <c r="G95" s="38"/>
      <c r="H95" s="2">
        <v>38.411020000000001</v>
      </c>
      <c r="I95" s="27">
        <f t="shared" ref="I95" si="76">AVERAGE(H95:H99)</f>
        <v>39.852790000000006</v>
      </c>
      <c r="J95" s="38"/>
      <c r="L95" s="31"/>
      <c r="M95" s="33"/>
      <c r="N95" s="26">
        <v>4</v>
      </c>
      <c r="O95" s="5" t="s">
        <v>7</v>
      </c>
      <c r="P95" s="2">
        <v>87.712819999999994</v>
      </c>
      <c r="Q95" s="27">
        <f t="shared" ref="Q95" si="77">AVERAGE(P95:P99)</f>
        <v>137.531398</v>
      </c>
      <c r="R95" s="38"/>
      <c r="S95" s="1">
        <v>35.769350000000003</v>
      </c>
      <c r="T95" s="30">
        <f t="shared" ref="T95" si="78">AVERAGE(S95:S99)</f>
        <v>30.097052000000001</v>
      </c>
      <c r="U95" s="41"/>
    </row>
    <row r="96" spans="1:21" ht="16" x14ac:dyDescent="0.2">
      <c r="A96" s="31"/>
      <c r="B96" s="33"/>
      <c r="C96" s="26"/>
      <c r="D96" s="4" t="s">
        <v>8</v>
      </c>
      <c r="E96" s="2">
        <v>71.982110000000006</v>
      </c>
      <c r="F96" s="28"/>
      <c r="G96" s="38"/>
      <c r="H96" s="2">
        <v>41.982110000000006</v>
      </c>
      <c r="I96" s="28"/>
      <c r="J96" s="38"/>
      <c r="L96" s="31"/>
      <c r="M96" s="33"/>
      <c r="N96" s="26"/>
      <c r="O96" s="5" t="s">
        <v>8</v>
      </c>
      <c r="P96" s="2">
        <v>177.70643000000001</v>
      </c>
      <c r="Q96" s="28"/>
      <c r="R96" s="38"/>
      <c r="S96" s="1">
        <v>30.173909999999999</v>
      </c>
      <c r="T96" s="31"/>
      <c r="U96" s="41"/>
    </row>
    <row r="97" spans="1:21" ht="16" x14ac:dyDescent="0.2">
      <c r="A97" s="31"/>
      <c r="B97" s="33"/>
      <c r="C97" s="26"/>
      <c r="D97" s="4" t="s">
        <v>9</v>
      </c>
      <c r="E97" s="2">
        <v>82.548209999999997</v>
      </c>
      <c r="F97" s="28"/>
      <c r="G97" s="38"/>
      <c r="H97" s="2">
        <v>42.548209999999997</v>
      </c>
      <c r="I97" s="28"/>
      <c r="J97" s="38"/>
      <c r="L97" s="31"/>
      <c r="M97" s="33"/>
      <c r="N97" s="26"/>
      <c r="O97" s="5" t="s">
        <v>9</v>
      </c>
      <c r="P97" s="2">
        <v>161.78442999999999</v>
      </c>
      <c r="Q97" s="28"/>
      <c r="R97" s="38"/>
      <c r="S97" s="1">
        <v>28.38785</v>
      </c>
      <c r="T97" s="31"/>
      <c r="U97" s="41"/>
    </row>
    <row r="98" spans="1:21" ht="16" x14ac:dyDescent="0.2">
      <c r="A98" s="31"/>
      <c r="B98" s="33"/>
      <c r="C98" s="26"/>
      <c r="D98" s="4" t="s">
        <v>10</v>
      </c>
      <c r="E98" s="2">
        <v>87.348089999999999</v>
      </c>
      <c r="F98" s="28"/>
      <c r="G98" s="38"/>
      <c r="H98" s="2">
        <v>37.348089999999999</v>
      </c>
      <c r="I98" s="28"/>
      <c r="J98" s="38"/>
      <c r="L98" s="31"/>
      <c r="M98" s="33"/>
      <c r="N98" s="26"/>
      <c r="O98" s="5" t="s">
        <v>10</v>
      </c>
      <c r="P98" s="2">
        <v>167.45117999999999</v>
      </c>
      <c r="Q98" s="28"/>
      <c r="R98" s="38"/>
      <c r="S98" s="1">
        <v>30.02197</v>
      </c>
      <c r="T98" s="31"/>
      <c r="U98" s="41"/>
    </row>
    <row r="99" spans="1:21" ht="16" x14ac:dyDescent="0.2">
      <c r="A99" s="31"/>
      <c r="B99" s="33"/>
      <c r="C99" s="26"/>
      <c r="D99" s="4" t="s">
        <v>11</v>
      </c>
      <c r="E99" s="2">
        <v>78.974519999999998</v>
      </c>
      <c r="F99" s="29"/>
      <c r="G99" s="38"/>
      <c r="H99" s="2">
        <v>38.974520000000005</v>
      </c>
      <c r="I99" s="29"/>
      <c r="J99" s="38"/>
      <c r="L99" s="31"/>
      <c r="M99" s="33"/>
      <c r="N99" s="26"/>
      <c r="O99" s="5" t="s">
        <v>11</v>
      </c>
      <c r="P99" s="2">
        <v>93.002129999999994</v>
      </c>
      <c r="Q99" s="29"/>
      <c r="R99" s="38"/>
      <c r="S99" s="1">
        <v>26.132179999999998</v>
      </c>
      <c r="T99" s="32"/>
      <c r="U99" s="41"/>
    </row>
    <row r="100" spans="1:21" ht="16" x14ac:dyDescent="0.2">
      <c r="A100" s="31"/>
      <c r="B100" s="33"/>
      <c r="C100" s="26">
        <v>5</v>
      </c>
      <c r="D100" s="4" t="s">
        <v>7</v>
      </c>
      <c r="E100" s="2">
        <v>67.259920000000008</v>
      </c>
      <c r="F100" s="27">
        <f t="shared" ref="F100" si="79">AVERAGE(E100:E104)</f>
        <v>69.821222000000006</v>
      </c>
      <c r="G100" s="38"/>
      <c r="H100" s="2">
        <v>37.259920000000001</v>
      </c>
      <c r="I100" s="27">
        <f t="shared" ref="I100" si="80">AVERAGE(H100:H104)</f>
        <v>35.821221999999999</v>
      </c>
      <c r="J100" s="38"/>
      <c r="L100" s="31"/>
      <c r="M100" s="33"/>
      <c r="N100" s="26">
        <v>5</v>
      </c>
      <c r="O100" s="5" t="s">
        <v>7</v>
      </c>
      <c r="P100" s="2">
        <v>136.87446</v>
      </c>
      <c r="Q100" s="27">
        <f t="shared" ref="Q100" si="81">AVERAGE(P100:P104)</f>
        <v>108.765914</v>
      </c>
      <c r="R100" s="38"/>
      <c r="S100" s="1">
        <v>33.077210000000001</v>
      </c>
      <c r="T100" s="30">
        <f t="shared" ref="T100" si="82">AVERAGE(S100:S104)</f>
        <v>31.587554000000001</v>
      </c>
      <c r="U100" s="41"/>
    </row>
    <row r="101" spans="1:21" ht="16" x14ac:dyDescent="0.2">
      <c r="A101" s="31"/>
      <c r="B101" s="33"/>
      <c r="C101" s="26"/>
      <c r="D101" s="4" t="s">
        <v>8</v>
      </c>
      <c r="E101" s="2">
        <v>78.910669999999996</v>
      </c>
      <c r="F101" s="28"/>
      <c r="G101" s="38"/>
      <c r="H101" s="2">
        <v>38.910670000000003</v>
      </c>
      <c r="I101" s="28"/>
      <c r="J101" s="38"/>
      <c r="L101" s="31"/>
      <c r="M101" s="33"/>
      <c r="N101" s="26"/>
      <c r="O101" s="5" t="s">
        <v>8</v>
      </c>
      <c r="P101" s="2">
        <v>89.714120000000008</v>
      </c>
      <c r="Q101" s="28"/>
      <c r="R101" s="38"/>
      <c r="S101" s="1">
        <v>31.864450000000001</v>
      </c>
      <c r="T101" s="31"/>
      <c r="U101" s="41"/>
    </row>
    <row r="102" spans="1:21" ht="16" x14ac:dyDescent="0.2">
      <c r="A102" s="31"/>
      <c r="B102" s="33"/>
      <c r="C102" s="26"/>
      <c r="D102" s="4" t="s">
        <v>9</v>
      </c>
      <c r="E102" s="2">
        <v>52.763019999999997</v>
      </c>
      <c r="F102" s="28"/>
      <c r="G102" s="38"/>
      <c r="H102" s="2">
        <v>32.763020000000004</v>
      </c>
      <c r="I102" s="28"/>
      <c r="J102" s="38"/>
      <c r="L102" s="31"/>
      <c r="M102" s="33"/>
      <c r="N102" s="26"/>
      <c r="O102" s="5" t="s">
        <v>9</v>
      </c>
      <c r="P102" s="2">
        <v>134.16755999999998</v>
      </c>
      <c r="Q102" s="28"/>
      <c r="R102" s="38"/>
      <c r="S102" s="1">
        <v>28.322310000000002</v>
      </c>
      <c r="T102" s="31"/>
      <c r="U102" s="41"/>
    </row>
    <row r="103" spans="1:21" ht="16" x14ac:dyDescent="0.2">
      <c r="A103" s="31"/>
      <c r="B103" s="33"/>
      <c r="C103" s="26"/>
      <c r="D103" s="4" t="s">
        <v>10</v>
      </c>
      <c r="E103" s="2">
        <v>92.704560000000001</v>
      </c>
      <c r="F103" s="28"/>
      <c r="G103" s="38"/>
      <c r="H103" s="2">
        <v>32.704560000000001</v>
      </c>
      <c r="I103" s="28"/>
      <c r="J103" s="38"/>
      <c r="L103" s="31"/>
      <c r="M103" s="33"/>
      <c r="N103" s="26"/>
      <c r="O103" s="5" t="s">
        <v>10</v>
      </c>
      <c r="P103" s="2">
        <v>86.794920000000005</v>
      </c>
      <c r="Q103" s="28"/>
      <c r="R103" s="38"/>
      <c r="S103" s="1">
        <v>33.934080000000002</v>
      </c>
      <c r="T103" s="31"/>
      <c r="U103" s="41"/>
    </row>
    <row r="104" spans="1:21" ht="16" x14ac:dyDescent="0.2">
      <c r="A104" s="31"/>
      <c r="B104" s="33"/>
      <c r="C104" s="26"/>
      <c r="D104" s="4" t="s">
        <v>11</v>
      </c>
      <c r="E104" s="2">
        <v>57.467939999999999</v>
      </c>
      <c r="F104" s="29"/>
      <c r="G104" s="39"/>
      <c r="H104" s="2">
        <v>37.467939999999999</v>
      </c>
      <c r="I104" s="29"/>
      <c r="J104" s="39"/>
      <c r="L104" s="31"/>
      <c r="M104" s="33"/>
      <c r="N104" s="26"/>
      <c r="O104" s="5" t="s">
        <v>11</v>
      </c>
      <c r="P104" s="2">
        <v>96.278510000000011</v>
      </c>
      <c r="Q104" s="29"/>
      <c r="R104" s="39"/>
      <c r="S104" s="1">
        <v>30.739720000000002</v>
      </c>
      <c r="T104" s="32"/>
      <c r="U104" s="42"/>
    </row>
    <row r="105" spans="1:21" ht="16" x14ac:dyDescent="0.2">
      <c r="A105" s="31"/>
      <c r="B105" s="26">
        <v>2</v>
      </c>
      <c r="C105" s="26">
        <v>1</v>
      </c>
      <c r="D105" s="4" t="s">
        <v>7</v>
      </c>
      <c r="E105" s="2">
        <v>97.868889999999993</v>
      </c>
      <c r="F105" s="27">
        <f t="shared" ref="F105" si="83">AVERAGE(E105:E109)</f>
        <v>86.837382000000005</v>
      </c>
      <c r="G105" s="37">
        <f>AVERAGE(F105:F129)</f>
        <v>85.696876000000003</v>
      </c>
      <c r="H105" s="2">
        <v>36.62236</v>
      </c>
      <c r="I105" s="27">
        <f t="shared" ref="I105" si="84">AVERAGE(H105:H109)</f>
        <v>37.051869999999994</v>
      </c>
      <c r="J105" s="37">
        <f t="shared" ref="J105" si="85">AVERAGE(I105:I129)</f>
        <v>38.476041999999993</v>
      </c>
      <c r="L105" s="31"/>
      <c r="M105" s="26">
        <v>2</v>
      </c>
      <c r="N105" s="26">
        <v>1</v>
      </c>
      <c r="O105" s="5" t="s">
        <v>7</v>
      </c>
      <c r="P105" s="2">
        <v>152.19071</v>
      </c>
      <c r="Q105" s="27">
        <f t="shared" ref="Q105" si="86">AVERAGE(P105:P109)</f>
        <v>152.75159200000002</v>
      </c>
      <c r="R105" s="37">
        <f t="shared" ref="R105" si="87">AVERAGE(Q105:Q129)</f>
        <v>149.19264319999999</v>
      </c>
      <c r="S105" s="1">
        <v>32.247</v>
      </c>
      <c r="T105" s="30">
        <f t="shared" ref="T105" si="88">AVERAGE(S105:S109)</f>
        <v>28.609875999999996</v>
      </c>
      <c r="U105" s="40">
        <f t="shared" ref="U105" si="89">AVERAGE(T105:T129)</f>
        <v>30.0363592</v>
      </c>
    </row>
    <row r="106" spans="1:21" ht="16" x14ac:dyDescent="0.2">
      <c r="A106" s="31"/>
      <c r="B106" s="26"/>
      <c r="C106" s="26"/>
      <c r="D106" s="4" t="s">
        <v>8</v>
      </c>
      <c r="E106" s="2">
        <v>101.76218999999999</v>
      </c>
      <c r="F106" s="28"/>
      <c r="G106" s="38"/>
      <c r="H106" s="2">
        <v>39.04898</v>
      </c>
      <c r="I106" s="28"/>
      <c r="J106" s="38"/>
      <c r="L106" s="31"/>
      <c r="M106" s="26"/>
      <c r="N106" s="26"/>
      <c r="O106" s="5" t="s">
        <v>8</v>
      </c>
      <c r="P106" s="2">
        <v>143.20618999999999</v>
      </c>
      <c r="Q106" s="28"/>
      <c r="R106" s="38"/>
      <c r="S106" s="1">
        <v>28.30658</v>
      </c>
      <c r="T106" s="31"/>
      <c r="U106" s="41"/>
    </row>
    <row r="107" spans="1:21" ht="16" x14ac:dyDescent="0.2">
      <c r="A107" s="31"/>
      <c r="B107" s="26"/>
      <c r="C107" s="26"/>
      <c r="D107" s="4" t="s">
        <v>9</v>
      </c>
      <c r="E107" s="2">
        <v>108.27607</v>
      </c>
      <c r="F107" s="28"/>
      <c r="G107" s="38"/>
      <c r="H107" s="2">
        <v>38.306849999999997</v>
      </c>
      <c r="I107" s="28"/>
      <c r="J107" s="38"/>
      <c r="L107" s="31"/>
      <c r="M107" s="26"/>
      <c r="N107" s="26"/>
      <c r="O107" s="5" t="s">
        <v>9</v>
      </c>
      <c r="P107" s="2">
        <v>119.33619</v>
      </c>
      <c r="Q107" s="28"/>
      <c r="R107" s="38"/>
      <c r="S107" s="1">
        <v>26.282249999999998</v>
      </c>
      <c r="T107" s="31"/>
      <c r="U107" s="41"/>
    </row>
    <row r="108" spans="1:21" ht="16" x14ac:dyDescent="0.2">
      <c r="A108" s="31"/>
      <c r="B108" s="26"/>
      <c r="C108" s="26"/>
      <c r="D108" s="4" t="s">
        <v>10</v>
      </c>
      <c r="E108" s="2">
        <v>61.624740000000003</v>
      </c>
      <c r="F108" s="28"/>
      <c r="G108" s="38"/>
      <c r="H108" s="2">
        <v>38.431889999999996</v>
      </c>
      <c r="I108" s="28"/>
      <c r="J108" s="38"/>
      <c r="L108" s="31"/>
      <c r="M108" s="26"/>
      <c r="N108" s="26"/>
      <c r="O108" s="5" t="s">
        <v>10</v>
      </c>
      <c r="P108" s="2">
        <v>172.27924999999999</v>
      </c>
      <c r="Q108" s="28"/>
      <c r="R108" s="38"/>
      <c r="S108" s="1">
        <v>29.073080000000001</v>
      </c>
      <c r="T108" s="31"/>
      <c r="U108" s="41"/>
    </row>
    <row r="109" spans="1:21" ht="16" x14ac:dyDescent="0.2">
      <c r="A109" s="31"/>
      <c r="B109" s="26"/>
      <c r="C109" s="26"/>
      <c r="D109" s="4" t="s">
        <v>11</v>
      </c>
      <c r="E109" s="2">
        <v>64.655020000000007</v>
      </c>
      <c r="F109" s="29"/>
      <c r="G109" s="38"/>
      <c r="H109" s="2">
        <v>32.849270000000004</v>
      </c>
      <c r="I109" s="29"/>
      <c r="J109" s="38"/>
      <c r="L109" s="31"/>
      <c r="M109" s="26"/>
      <c r="N109" s="26"/>
      <c r="O109" s="5" t="s">
        <v>11</v>
      </c>
      <c r="P109" s="2">
        <v>176.74562000000003</v>
      </c>
      <c r="Q109" s="29"/>
      <c r="R109" s="38"/>
      <c r="S109" s="1">
        <v>27.140470000000001</v>
      </c>
      <c r="T109" s="32"/>
      <c r="U109" s="41"/>
    </row>
    <row r="110" spans="1:21" ht="16" x14ac:dyDescent="0.2">
      <c r="A110" s="31"/>
      <c r="B110" s="26"/>
      <c r="C110" s="26">
        <v>2</v>
      </c>
      <c r="D110" s="4" t="s">
        <v>7</v>
      </c>
      <c r="E110" s="2">
        <v>77.970870000000005</v>
      </c>
      <c r="F110" s="27">
        <f t="shared" ref="F110" si="90">AVERAGE(E110:E114)</f>
        <v>85.207810000000023</v>
      </c>
      <c r="G110" s="38"/>
      <c r="H110" s="2">
        <v>35.276249999999997</v>
      </c>
      <c r="I110" s="27">
        <f t="shared" ref="I110" si="91">AVERAGE(H110:H114)</f>
        <v>36.712305999999998</v>
      </c>
      <c r="J110" s="38"/>
      <c r="L110" s="31"/>
      <c r="M110" s="26"/>
      <c r="N110" s="26">
        <v>2</v>
      </c>
      <c r="O110" s="5" t="s">
        <v>7</v>
      </c>
      <c r="P110" s="2">
        <v>143.46017000000001</v>
      </c>
      <c r="Q110" s="27">
        <f t="shared" ref="Q110" si="92">AVERAGE(P110:P114)</f>
        <v>134.90302199999999</v>
      </c>
      <c r="R110" s="38"/>
      <c r="S110" s="1">
        <v>28.282170000000001</v>
      </c>
      <c r="T110" s="30">
        <f t="shared" ref="T110" si="93">AVERAGE(S110:S114)</f>
        <v>33.953650000000003</v>
      </c>
      <c r="U110" s="41"/>
    </row>
    <row r="111" spans="1:21" ht="16" x14ac:dyDescent="0.2">
      <c r="A111" s="31"/>
      <c r="B111" s="26"/>
      <c r="C111" s="26"/>
      <c r="D111" s="4" t="s">
        <v>8</v>
      </c>
      <c r="E111" s="2">
        <v>86.639770000000013</v>
      </c>
      <c r="F111" s="28"/>
      <c r="G111" s="38"/>
      <c r="H111" s="2">
        <v>35.128889999999998</v>
      </c>
      <c r="I111" s="28"/>
      <c r="J111" s="38"/>
      <c r="L111" s="31"/>
      <c r="M111" s="26"/>
      <c r="N111" s="26"/>
      <c r="O111" s="5" t="s">
        <v>8</v>
      </c>
      <c r="P111" s="2">
        <v>130.36002999999999</v>
      </c>
      <c r="Q111" s="28"/>
      <c r="R111" s="38"/>
      <c r="S111" s="1">
        <v>29.491990000000001</v>
      </c>
      <c r="T111" s="31"/>
      <c r="U111" s="41"/>
    </row>
    <row r="112" spans="1:21" ht="16" x14ac:dyDescent="0.2">
      <c r="A112" s="31"/>
      <c r="B112" s="26"/>
      <c r="C112" s="26"/>
      <c r="D112" s="4" t="s">
        <v>9</v>
      </c>
      <c r="E112" s="2">
        <v>135.84152</v>
      </c>
      <c r="F112" s="28"/>
      <c r="G112" s="38"/>
      <c r="H112" s="2">
        <v>36.473350000000003</v>
      </c>
      <c r="I112" s="28"/>
      <c r="J112" s="38"/>
      <c r="L112" s="31"/>
      <c r="M112" s="26"/>
      <c r="N112" s="26"/>
      <c r="O112" s="5" t="s">
        <v>9</v>
      </c>
      <c r="P112" s="2">
        <v>167.72848999999999</v>
      </c>
      <c r="Q112" s="28"/>
      <c r="R112" s="38"/>
      <c r="S112" s="1">
        <v>50.720829999999999</v>
      </c>
      <c r="T112" s="31"/>
      <c r="U112" s="41"/>
    </row>
    <row r="113" spans="1:21" ht="16" x14ac:dyDescent="0.2">
      <c r="A113" s="31"/>
      <c r="B113" s="26"/>
      <c r="C113" s="26"/>
      <c r="D113" s="4" t="s">
        <v>10</v>
      </c>
      <c r="E113" s="2">
        <v>65.091890000000006</v>
      </c>
      <c r="F113" s="28"/>
      <c r="G113" s="38"/>
      <c r="H113" s="2">
        <v>38.641239999999996</v>
      </c>
      <c r="I113" s="28"/>
      <c r="J113" s="38"/>
      <c r="L113" s="31"/>
      <c r="M113" s="26"/>
      <c r="N113" s="26"/>
      <c r="O113" s="5" t="s">
        <v>10</v>
      </c>
      <c r="P113" s="2">
        <v>134.43378000000001</v>
      </c>
      <c r="Q113" s="28"/>
      <c r="R113" s="38"/>
      <c r="S113" s="1">
        <v>27.279119999999999</v>
      </c>
      <c r="T113" s="31"/>
      <c r="U113" s="41"/>
    </row>
    <row r="114" spans="1:21" ht="16" x14ac:dyDescent="0.2">
      <c r="A114" s="31"/>
      <c r="B114" s="26"/>
      <c r="C114" s="26"/>
      <c r="D114" s="4" t="s">
        <v>11</v>
      </c>
      <c r="E114" s="2">
        <v>60.494999999999997</v>
      </c>
      <c r="F114" s="29"/>
      <c r="G114" s="38"/>
      <c r="H114" s="2">
        <v>38.041799999999995</v>
      </c>
      <c r="I114" s="29"/>
      <c r="J114" s="38"/>
      <c r="L114" s="31"/>
      <c r="M114" s="26"/>
      <c r="N114" s="26"/>
      <c r="O114" s="5" t="s">
        <v>11</v>
      </c>
      <c r="P114" s="2">
        <v>98.532639999999986</v>
      </c>
      <c r="Q114" s="29"/>
      <c r="R114" s="38"/>
      <c r="S114" s="1">
        <v>33.994140000000002</v>
      </c>
      <c r="T114" s="32"/>
      <c r="U114" s="41"/>
    </row>
    <row r="115" spans="1:21" ht="16" x14ac:dyDescent="0.2">
      <c r="A115" s="31"/>
      <c r="B115" s="26"/>
      <c r="C115" s="26">
        <v>3</v>
      </c>
      <c r="D115" s="4" t="s">
        <v>7</v>
      </c>
      <c r="E115" s="2">
        <v>79.220039999999997</v>
      </c>
      <c r="F115" s="27">
        <f t="shared" ref="F115" si="94">AVERAGE(E115:E119)</f>
        <v>86.234705999999989</v>
      </c>
      <c r="G115" s="38"/>
      <c r="H115" s="2">
        <v>39.029699999999998</v>
      </c>
      <c r="I115" s="27">
        <f t="shared" ref="I115" si="95">AVERAGE(H115:H119)</f>
        <v>41.878742000000003</v>
      </c>
      <c r="J115" s="38"/>
      <c r="L115" s="31"/>
      <c r="M115" s="26"/>
      <c r="N115" s="26">
        <v>3</v>
      </c>
      <c r="O115" s="5" t="s">
        <v>7</v>
      </c>
      <c r="P115" s="2">
        <v>169.78541000000001</v>
      </c>
      <c r="Q115" s="27">
        <f t="shared" ref="Q115" si="96">AVERAGE(P115:P119)</f>
        <v>165.581684</v>
      </c>
      <c r="R115" s="38"/>
      <c r="S115" s="1">
        <v>21.255410000000001</v>
      </c>
      <c r="T115" s="30">
        <f t="shared" ref="T115" si="97">AVERAGE(S115:S119)</f>
        <v>29.569414000000002</v>
      </c>
      <c r="U115" s="41"/>
    </row>
    <row r="116" spans="1:21" ht="16" x14ac:dyDescent="0.2">
      <c r="A116" s="31"/>
      <c r="B116" s="26"/>
      <c r="C116" s="26"/>
      <c r="D116" s="4" t="s">
        <v>8</v>
      </c>
      <c r="E116" s="2">
        <v>78.741259999999997</v>
      </c>
      <c r="F116" s="28"/>
      <c r="G116" s="38"/>
      <c r="H116" s="2">
        <v>44.706980000000001</v>
      </c>
      <c r="I116" s="28"/>
      <c r="J116" s="38"/>
      <c r="L116" s="31"/>
      <c r="M116" s="26"/>
      <c r="N116" s="26"/>
      <c r="O116" s="5" t="s">
        <v>8</v>
      </c>
      <c r="P116" s="2">
        <v>207.08195000000001</v>
      </c>
      <c r="Q116" s="28"/>
      <c r="R116" s="38"/>
      <c r="S116" s="1">
        <v>34.396129999999999</v>
      </c>
      <c r="T116" s="31"/>
      <c r="U116" s="41"/>
    </row>
    <row r="117" spans="1:21" ht="16" x14ac:dyDescent="0.2">
      <c r="A117" s="31"/>
      <c r="B117" s="26"/>
      <c r="C117" s="26"/>
      <c r="D117" s="4" t="s">
        <v>9</v>
      </c>
      <c r="E117" s="2">
        <v>101.41352000000001</v>
      </c>
      <c r="F117" s="28"/>
      <c r="G117" s="38"/>
      <c r="H117" s="2">
        <v>49.828549999999993</v>
      </c>
      <c r="I117" s="28"/>
      <c r="J117" s="38"/>
      <c r="L117" s="31"/>
      <c r="M117" s="26"/>
      <c r="N117" s="26"/>
      <c r="O117" s="5" t="s">
        <v>9</v>
      </c>
      <c r="P117" s="2">
        <v>124.71778</v>
      </c>
      <c r="Q117" s="28"/>
      <c r="R117" s="38"/>
      <c r="S117" s="1">
        <v>30.531640000000003</v>
      </c>
      <c r="T117" s="31"/>
      <c r="U117" s="41"/>
    </row>
    <row r="118" spans="1:21" ht="16" x14ac:dyDescent="0.2">
      <c r="A118" s="31"/>
      <c r="B118" s="26"/>
      <c r="C118" s="26"/>
      <c r="D118" s="4" t="s">
        <v>10</v>
      </c>
      <c r="E118" s="2">
        <v>84.307639999999992</v>
      </c>
      <c r="F118" s="28"/>
      <c r="G118" s="38"/>
      <c r="H118" s="2">
        <v>35.082840000000004</v>
      </c>
      <c r="I118" s="28"/>
      <c r="J118" s="38"/>
      <c r="L118" s="31"/>
      <c r="M118" s="26"/>
      <c r="N118" s="26"/>
      <c r="O118" s="5" t="s">
        <v>10</v>
      </c>
      <c r="P118" s="2">
        <v>181.57534999999999</v>
      </c>
      <c r="Q118" s="28"/>
      <c r="R118" s="38"/>
      <c r="S118" s="1">
        <v>23.901350000000001</v>
      </c>
      <c r="T118" s="31"/>
      <c r="U118" s="41"/>
    </row>
    <row r="119" spans="1:21" ht="16" x14ac:dyDescent="0.2">
      <c r="A119" s="31"/>
      <c r="B119" s="26"/>
      <c r="C119" s="26"/>
      <c r="D119" s="4" t="s">
        <v>11</v>
      </c>
      <c r="E119" s="2">
        <v>87.491069999999993</v>
      </c>
      <c r="F119" s="29"/>
      <c r="G119" s="38"/>
      <c r="H119" s="2">
        <v>40.745640000000002</v>
      </c>
      <c r="I119" s="29"/>
      <c r="J119" s="38"/>
      <c r="L119" s="31"/>
      <c r="M119" s="26"/>
      <c r="N119" s="26"/>
      <c r="O119" s="5" t="s">
        <v>11</v>
      </c>
      <c r="P119" s="2">
        <v>144.74793</v>
      </c>
      <c r="Q119" s="29"/>
      <c r="R119" s="38"/>
      <c r="S119" s="1">
        <v>37.762540000000001</v>
      </c>
      <c r="T119" s="32"/>
      <c r="U119" s="41"/>
    </row>
    <row r="120" spans="1:21" ht="16" x14ac:dyDescent="0.2">
      <c r="A120" s="31"/>
      <c r="B120" s="26"/>
      <c r="C120" s="26">
        <v>4</v>
      </c>
      <c r="D120" s="4" t="s">
        <v>7</v>
      </c>
      <c r="E120" s="2">
        <v>68.61421</v>
      </c>
      <c r="F120" s="27">
        <f t="shared" ref="F120" si="98">AVERAGE(E120:E124)</f>
        <v>81.26824400000001</v>
      </c>
      <c r="G120" s="38"/>
      <c r="H120" s="2">
        <v>35.996569999999998</v>
      </c>
      <c r="I120" s="27">
        <f t="shared" ref="I120" si="99">AVERAGE(H120:H124)</f>
        <v>38.695613999999999</v>
      </c>
      <c r="J120" s="38"/>
      <c r="L120" s="31"/>
      <c r="M120" s="26"/>
      <c r="N120" s="26">
        <v>4</v>
      </c>
      <c r="O120" s="5" t="s">
        <v>7</v>
      </c>
      <c r="P120" s="2">
        <v>182.55776999999998</v>
      </c>
      <c r="Q120" s="27">
        <f t="shared" ref="Q120" si="100">AVERAGE(P120:P124)</f>
        <v>183.961004</v>
      </c>
      <c r="R120" s="38"/>
      <c r="S120" s="1">
        <v>21.255410000000001</v>
      </c>
      <c r="T120" s="30">
        <f t="shared" ref="T120" si="101">AVERAGE(S120:S124)</f>
        <v>28.282831999999996</v>
      </c>
      <c r="U120" s="41"/>
    </row>
    <row r="121" spans="1:21" ht="16" x14ac:dyDescent="0.2">
      <c r="A121" s="31"/>
      <c r="B121" s="26"/>
      <c r="C121" s="26"/>
      <c r="D121" s="4" t="s">
        <v>8</v>
      </c>
      <c r="E121" s="2">
        <v>70.333950000000002</v>
      </c>
      <c r="F121" s="28"/>
      <c r="G121" s="38"/>
      <c r="H121" s="2">
        <v>41.694250000000004</v>
      </c>
      <c r="I121" s="28"/>
      <c r="J121" s="38"/>
      <c r="L121" s="31"/>
      <c r="M121" s="26"/>
      <c r="N121" s="26"/>
      <c r="O121" s="5" t="s">
        <v>8</v>
      </c>
      <c r="P121" s="2">
        <v>186.14472000000001</v>
      </c>
      <c r="Q121" s="28"/>
      <c r="R121" s="38"/>
      <c r="S121" s="1">
        <v>30.486129999999999</v>
      </c>
      <c r="T121" s="31"/>
      <c r="U121" s="41"/>
    </row>
    <row r="122" spans="1:21" ht="16" x14ac:dyDescent="0.2">
      <c r="A122" s="31"/>
      <c r="B122" s="26"/>
      <c r="C122" s="26"/>
      <c r="D122" s="4" t="s">
        <v>9</v>
      </c>
      <c r="E122" s="2">
        <v>76.242130000000003</v>
      </c>
      <c r="F122" s="28"/>
      <c r="G122" s="38"/>
      <c r="H122" s="2">
        <v>37.451700000000002</v>
      </c>
      <c r="I122" s="28"/>
      <c r="J122" s="38"/>
      <c r="L122" s="31"/>
      <c r="M122" s="26"/>
      <c r="N122" s="26"/>
      <c r="O122" s="5" t="s">
        <v>9</v>
      </c>
      <c r="P122" s="2">
        <v>156.18567999999999</v>
      </c>
      <c r="Q122" s="28"/>
      <c r="R122" s="38"/>
      <c r="S122" s="1">
        <v>35.753509999999999</v>
      </c>
      <c r="T122" s="31"/>
      <c r="U122" s="41"/>
    </row>
    <row r="123" spans="1:21" ht="16" x14ac:dyDescent="0.2">
      <c r="A123" s="31"/>
      <c r="B123" s="26"/>
      <c r="C123" s="26"/>
      <c r="D123" s="4" t="s">
        <v>10</v>
      </c>
      <c r="E123" s="2">
        <v>87.772559999999999</v>
      </c>
      <c r="F123" s="28"/>
      <c r="G123" s="38"/>
      <c r="H123" s="2">
        <v>36.525259999999996</v>
      </c>
      <c r="I123" s="28"/>
      <c r="J123" s="38"/>
      <c r="L123" s="31"/>
      <c r="M123" s="26"/>
      <c r="N123" s="26"/>
      <c r="O123" s="5" t="s">
        <v>10</v>
      </c>
      <c r="P123" s="2">
        <v>182.72847000000002</v>
      </c>
      <c r="Q123" s="28"/>
      <c r="R123" s="38"/>
      <c r="S123" s="1">
        <v>23.863859999999999</v>
      </c>
      <c r="T123" s="31"/>
      <c r="U123" s="41"/>
    </row>
    <row r="124" spans="1:21" ht="16" x14ac:dyDescent="0.2">
      <c r="A124" s="31"/>
      <c r="B124" s="26"/>
      <c r="C124" s="26"/>
      <c r="D124" s="4" t="s">
        <v>11</v>
      </c>
      <c r="E124" s="2">
        <v>103.37836999999999</v>
      </c>
      <c r="F124" s="29"/>
      <c r="G124" s="38"/>
      <c r="H124" s="2">
        <v>41.810290000000002</v>
      </c>
      <c r="I124" s="29"/>
      <c r="J124" s="38"/>
      <c r="L124" s="31"/>
      <c r="M124" s="26"/>
      <c r="N124" s="26"/>
      <c r="O124" s="5" t="s">
        <v>11</v>
      </c>
      <c r="P124" s="2">
        <v>212.18838</v>
      </c>
      <c r="Q124" s="29"/>
      <c r="R124" s="38"/>
      <c r="S124" s="1">
        <v>30.055250000000001</v>
      </c>
      <c r="T124" s="32"/>
      <c r="U124" s="41"/>
    </row>
    <row r="125" spans="1:21" ht="16" x14ac:dyDescent="0.2">
      <c r="A125" s="31"/>
      <c r="B125" s="26"/>
      <c r="C125" s="26">
        <v>5</v>
      </c>
      <c r="D125" s="4" t="s">
        <v>7</v>
      </c>
      <c r="E125" s="2">
        <v>77.420349999999999</v>
      </c>
      <c r="F125" s="27">
        <f t="shared" ref="F125" si="102">AVERAGE(E125:E129)</f>
        <v>88.936238000000003</v>
      </c>
      <c r="G125" s="38"/>
      <c r="H125" s="2">
        <v>41.163190000000007</v>
      </c>
      <c r="I125" s="27">
        <f t="shared" ref="I125" si="103">AVERAGE(H125:H129)</f>
        <v>38.041677999999997</v>
      </c>
      <c r="J125" s="38"/>
      <c r="L125" s="31"/>
      <c r="M125" s="26"/>
      <c r="N125" s="26">
        <v>5</v>
      </c>
      <c r="O125" s="5" t="s">
        <v>7</v>
      </c>
      <c r="P125" s="2">
        <v>136.87446</v>
      </c>
      <c r="Q125" s="27">
        <f t="shared" ref="Q125" si="104">AVERAGE(P125:P129)</f>
        <v>108.765914</v>
      </c>
      <c r="R125" s="38"/>
      <c r="S125" s="1">
        <v>24.211770000000001</v>
      </c>
      <c r="T125" s="30">
        <f t="shared" ref="T125" si="105">AVERAGE(S125:S129)</f>
        <v>29.766023999999998</v>
      </c>
      <c r="U125" s="41"/>
    </row>
    <row r="126" spans="1:21" ht="16" x14ac:dyDescent="0.2">
      <c r="A126" s="31"/>
      <c r="B126" s="26"/>
      <c r="C126" s="26"/>
      <c r="D126" s="4" t="s">
        <v>8</v>
      </c>
      <c r="E126" s="2">
        <v>88.203520000000012</v>
      </c>
      <c r="F126" s="28"/>
      <c r="G126" s="38"/>
      <c r="H126" s="2">
        <v>32.03172</v>
      </c>
      <c r="I126" s="28"/>
      <c r="J126" s="38"/>
      <c r="L126" s="31"/>
      <c r="M126" s="26"/>
      <c r="N126" s="26"/>
      <c r="O126" s="5" t="s">
        <v>8</v>
      </c>
      <c r="P126" s="2">
        <v>89.714120000000008</v>
      </c>
      <c r="Q126" s="28"/>
      <c r="R126" s="38"/>
      <c r="S126" s="1">
        <v>30.810580000000002</v>
      </c>
      <c r="T126" s="31"/>
      <c r="U126" s="41"/>
    </row>
    <row r="127" spans="1:21" ht="16" x14ac:dyDescent="0.2">
      <c r="A127" s="31"/>
      <c r="B127" s="26"/>
      <c r="C127" s="26"/>
      <c r="D127" s="4" t="s">
        <v>9</v>
      </c>
      <c r="E127" s="2">
        <v>77.791440000000009</v>
      </c>
      <c r="F127" s="28"/>
      <c r="G127" s="38"/>
      <c r="H127" s="2">
        <v>38.693339999999999</v>
      </c>
      <c r="I127" s="28"/>
      <c r="J127" s="38"/>
      <c r="L127" s="31"/>
      <c r="M127" s="26"/>
      <c r="N127" s="26"/>
      <c r="O127" s="5" t="s">
        <v>9</v>
      </c>
      <c r="P127" s="2">
        <v>134.16755999999998</v>
      </c>
      <c r="Q127" s="28"/>
      <c r="R127" s="38"/>
      <c r="S127" s="1">
        <v>31.52927</v>
      </c>
      <c r="T127" s="31"/>
      <c r="U127" s="41"/>
    </row>
    <row r="128" spans="1:21" ht="16" x14ac:dyDescent="0.2">
      <c r="A128" s="31"/>
      <c r="B128" s="26"/>
      <c r="C128" s="26"/>
      <c r="D128" s="4" t="s">
        <v>10</v>
      </c>
      <c r="E128" s="2">
        <v>107.67145000000001</v>
      </c>
      <c r="F128" s="28"/>
      <c r="G128" s="38"/>
      <c r="H128" s="2">
        <v>38.823909999999998</v>
      </c>
      <c r="I128" s="28"/>
      <c r="J128" s="38"/>
      <c r="L128" s="31"/>
      <c r="M128" s="26"/>
      <c r="N128" s="26"/>
      <c r="O128" s="5" t="s">
        <v>10</v>
      </c>
      <c r="P128" s="2">
        <v>86.794920000000005</v>
      </c>
      <c r="Q128" s="28"/>
      <c r="R128" s="38"/>
      <c r="S128" s="1">
        <v>29.435220000000001</v>
      </c>
      <c r="T128" s="31"/>
      <c r="U128" s="41"/>
    </row>
    <row r="129" spans="1:21" ht="16" x14ac:dyDescent="0.2">
      <c r="A129" s="31"/>
      <c r="B129" s="26"/>
      <c r="C129" s="26"/>
      <c r="D129" s="4" t="s">
        <v>11</v>
      </c>
      <c r="E129" s="2">
        <v>93.594429999999988</v>
      </c>
      <c r="F129" s="29"/>
      <c r="G129" s="39"/>
      <c r="H129" s="2">
        <v>39.496229999999997</v>
      </c>
      <c r="I129" s="29"/>
      <c r="J129" s="39"/>
      <c r="L129" s="31"/>
      <c r="M129" s="26"/>
      <c r="N129" s="26"/>
      <c r="O129" s="5" t="s">
        <v>11</v>
      </c>
      <c r="P129" s="2">
        <v>96.278510000000011</v>
      </c>
      <c r="Q129" s="29"/>
      <c r="R129" s="39"/>
      <c r="S129" s="1">
        <v>32.84328</v>
      </c>
      <c r="T129" s="32"/>
      <c r="U129" s="42"/>
    </row>
    <row r="130" spans="1:21" ht="16" x14ac:dyDescent="0.2">
      <c r="A130" s="31"/>
      <c r="B130" s="26">
        <v>3</v>
      </c>
      <c r="C130" s="26">
        <v>1</v>
      </c>
      <c r="D130" s="4" t="s">
        <v>7</v>
      </c>
      <c r="E130" s="2">
        <v>57.846450000000004</v>
      </c>
      <c r="F130" s="27">
        <f t="shared" ref="F130" si="106">AVERAGE(E130:E134)</f>
        <v>89.419529999999995</v>
      </c>
      <c r="G130" s="37">
        <f>AVERAGE(F130:F154)</f>
        <v>89.632866800000002</v>
      </c>
      <c r="H130" s="2">
        <v>39.209209999999999</v>
      </c>
      <c r="I130" s="27">
        <f t="shared" ref="I130" si="107">AVERAGE(H130:H134)</f>
        <v>39.062855999999996</v>
      </c>
      <c r="J130" s="37">
        <f t="shared" ref="J130" si="108">AVERAGE(I130:I154)</f>
        <v>37.6342572</v>
      </c>
      <c r="L130" s="31"/>
      <c r="M130" s="33">
        <v>3</v>
      </c>
      <c r="N130" s="26">
        <v>1</v>
      </c>
      <c r="O130" s="5" t="s">
        <v>7</v>
      </c>
      <c r="P130" s="2">
        <v>112.94174000000001</v>
      </c>
      <c r="Q130" s="27">
        <f t="shared" ref="Q130" si="109">AVERAGE(P130:P134)</f>
        <v>123.57757800000002</v>
      </c>
      <c r="R130" s="37">
        <f t="shared" ref="R130" si="110">AVERAGE(Q130:Q154)</f>
        <v>137.74414759999999</v>
      </c>
      <c r="S130" s="1">
        <v>34.317160000000001</v>
      </c>
      <c r="T130" s="30">
        <f t="shared" ref="T130" si="111">AVERAGE(S130:S134)</f>
        <v>29.227073999999998</v>
      </c>
      <c r="U130" s="40">
        <f t="shared" ref="U130" si="112">AVERAGE(T130:T154)</f>
        <v>30.776361199999997</v>
      </c>
    </row>
    <row r="131" spans="1:21" ht="16" x14ac:dyDescent="0.2">
      <c r="A131" s="31"/>
      <c r="B131" s="26"/>
      <c r="C131" s="26"/>
      <c r="D131" s="4" t="s">
        <v>8</v>
      </c>
      <c r="E131" s="2">
        <v>85.454300000000003</v>
      </c>
      <c r="F131" s="28"/>
      <c r="G131" s="38"/>
      <c r="H131" s="2">
        <v>35.12003</v>
      </c>
      <c r="I131" s="28"/>
      <c r="J131" s="38"/>
      <c r="L131" s="31"/>
      <c r="M131" s="33"/>
      <c r="N131" s="26"/>
      <c r="O131" s="5" t="s">
        <v>8</v>
      </c>
      <c r="P131" s="2">
        <v>108.11972</v>
      </c>
      <c r="Q131" s="28"/>
      <c r="R131" s="38"/>
      <c r="S131" s="1">
        <v>28.484369999999998</v>
      </c>
      <c r="T131" s="31"/>
      <c r="U131" s="41"/>
    </row>
    <row r="132" spans="1:21" ht="16" x14ac:dyDescent="0.2">
      <c r="A132" s="31"/>
      <c r="B132" s="26"/>
      <c r="C132" s="26"/>
      <c r="D132" s="4" t="s">
        <v>9</v>
      </c>
      <c r="E132" s="2">
        <v>94.744810000000001</v>
      </c>
      <c r="F132" s="28"/>
      <c r="G132" s="38"/>
      <c r="H132" s="2">
        <v>42.592520000000007</v>
      </c>
      <c r="I132" s="28"/>
      <c r="J132" s="38"/>
      <c r="L132" s="31"/>
      <c r="M132" s="33"/>
      <c r="N132" s="26"/>
      <c r="O132" s="5" t="s">
        <v>9</v>
      </c>
      <c r="P132" s="2">
        <v>128.66082</v>
      </c>
      <c r="Q132" s="28"/>
      <c r="R132" s="38"/>
      <c r="S132" s="1">
        <v>29.814350000000001</v>
      </c>
      <c r="T132" s="31"/>
      <c r="U132" s="41"/>
    </row>
    <row r="133" spans="1:21" ht="16" x14ac:dyDescent="0.2">
      <c r="A133" s="31"/>
      <c r="B133" s="26"/>
      <c r="C133" s="26"/>
      <c r="D133" s="4" t="s">
        <v>10</v>
      </c>
      <c r="E133" s="2">
        <v>103.52068</v>
      </c>
      <c r="F133" s="28"/>
      <c r="G133" s="38"/>
      <c r="H133" s="2">
        <v>43.227939999999997</v>
      </c>
      <c r="I133" s="28"/>
      <c r="J133" s="38"/>
      <c r="L133" s="31"/>
      <c r="M133" s="33"/>
      <c r="N133" s="26"/>
      <c r="O133" s="5" t="s">
        <v>10</v>
      </c>
      <c r="P133" s="2">
        <v>149.46138000000002</v>
      </c>
      <c r="Q133" s="28"/>
      <c r="R133" s="38"/>
      <c r="S133" s="1">
        <v>26.508589999999998</v>
      </c>
      <c r="T133" s="31"/>
      <c r="U133" s="41"/>
    </row>
    <row r="134" spans="1:21" ht="16" x14ac:dyDescent="0.2">
      <c r="A134" s="31"/>
      <c r="B134" s="26"/>
      <c r="C134" s="26"/>
      <c r="D134" s="4" t="s">
        <v>11</v>
      </c>
      <c r="E134" s="2">
        <v>105.53140999999999</v>
      </c>
      <c r="F134" s="29"/>
      <c r="G134" s="38"/>
      <c r="H134" s="2">
        <v>35.164580000000001</v>
      </c>
      <c r="I134" s="29"/>
      <c r="J134" s="38"/>
      <c r="L134" s="31"/>
      <c r="M134" s="33"/>
      <c r="N134" s="26"/>
      <c r="O134" s="5" t="s">
        <v>11</v>
      </c>
      <c r="P134" s="2">
        <v>118.70423000000001</v>
      </c>
      <c r="Q134" s="29"/>
      <c r="R134" s="38"/>
      <c r="S134" s="1">
        <v>27.010900000000003</v>
      </c>
      <c r="T134" s="32"/>
      <c r="U134" s="41"/>
    </row>
    <row r="135" spans="1:21" ht="16" x14ac:dyDescent="0.2">
      <c r="A135" s="31"/>
      <c r="B135" s="26"/>
      <c r="C135" s="26">
        <v>2</v>
      </c>
      <c r="D135" s="4" t="s">
        <v>7</v>
      </c>
      <c r="E135" s="2">
        <v>77.362470000000002</v>
      </c>
      <c r="F135" s="27">
        <f t="shared" ref="F135" si="113">AVERAGE(E135:E139)</f>
        <v>87.305616000000001</v>
      </c>
      <c r="G135" s="38"/>
      <c r="H135" s="2">
        <v>35.464750000000002</v>
      </c>
      <c r="I135" s="27">
        <f t="shared" ref="I135" si="114">AVERAGE(H135:H139)</f>
        <v>38.088753999999994</v>
      </c>
      <c r="J135" s="38"/>
      <c r="L135" s="31"/>
      <c r="M135" s="33"/>
      <c r="N135" s="26">
        <v>2</v>
      </c>
      <c r="O135" s="5" t="s">
        <v>7</v>
      </c>
      <c r="P135" s="2">
        <v>169.59704000000002</v>
      </c>
      <c r="Q135" s="27">
        <f t="shared" ref="Q135" si="115">AVERAGE(P135:P139)</f>
        <v>149.76514400000002</v>
      </c>
      <c r="R135" s="38"/>
      <c r="S135" s="1">
        <v>28.360869999999998</v>
      </c>
      <c r="T135" s="30">
        <f t="shared" ref="T135" si="116">AVERAGE(S135:S139)</f>
        <v>28.706667999999997</v>
      </c>
      <c r="U135" s="41"/>
    </row>
    <row r="136" spans="1:21" ht="16" x14ac:dyDescent="0.2">
      <c r="A136" s="31"/>
      <c r="B136" s="26"/>
      <c r="C136" s="26"/>
      <c r="D136" s="4" t="s">
        <v>8</v>
      </c>
      <c r="E136" s="2">
        <v>92.931839999999994</v>
      </c>
      <c r="F136" s="28"/>
      <c r="G136" s="38"/>
      <c r="H136" s="2">
        <v>35.072969999999998</v>
      </c>
      <c r="I136" s="28"/>
      <c r="J136" s="38"/>
      <c r="L136" s="31"/>
      <c r="M136" s="33"/>
      <c r="N136" s="26"/>
      <c r="O136" s="5" t="s">
        <v>8</v>
      </c>
      <c r="P136" s="2">
        <v>119.53456</v>
      </c>
      <c r="Q136" s="28"/>
      <c r="R136" s="38"/>
      <c r="S136" s="1">
        <v>30.544619999999998</v>
      </c>
      <c r="T136" s="31"/>
      <c r="U136" s="41"/>
    </row>
    <row r="137" spans="1:21" ht="16" x14ac:dyDescent="0.2">
      <c r="A137" s="31"/>
      <c r="B137" s="26"/>
      <c r="C137" s="26"/>
      <c r="D137" s="4" t="s">
        <v>9</v>
      </c>
      <c r="E137" s="2">
        <v>88.840969999999999</v>
      </c>
      <c r="F137" s="28"/>
      <c r="G137" s="38"/>
      <c r="H137" s="2">
        <v>40.031939999999999</v>
      </c>
      <c r="I137" s="28"/>
      <c r="J137" s="38"/>
      <c r="L137" s="31"/>
      <c r="M137" s="33"/>
      <c r="N137" s="26"/>
      <c r="O137" s="5" t="s">
        <v>9</v>
      </c>
      <c r="P137" s="2">
        <v>154.06356</v>
      </c>
      <c r="Q137" s="28"/>
      <c r="R137" s="38"/>
      <c r="S137" s="1">
        <v>32.820839999999997</v>
      </c>
      <c r="T137" s="31"/>
      <c r="U137" s="41"/>
    </row>
    <row r="138" spans="1:21" ht="16" x14ac:dyDescent="0.2">
      <c r="A138" s="31"/>
      <c r="B138" s="26"/>
      <c r="C138" s="26"/>
      <c r="D138" s="4" t="s">
        <v>10</v>
      </c>
      <c r="E138" s="2">
        <v>85.385640000000009</v>
      </c>
      <c r="F138" s="28"/>
      <c r="G138" s="38"/>
      <c r="H138" s="2">
        <v>40.844409999999996</v>
      </c>
      <c r="I138" s="28"/>
      <c r="J138" s="38"/>
      <c r="L138" s="31"/>
      <c r="M138" s="33"/>
      <c r="N138" s="26"/>
      <c r="O138" s="5" t="s">
        <v>10</v>
      </c>
      <c r="P138" s="2">
        <v>172.97333999999998</v>
      </c>
      <c r="Q138" s="28"/>
      <c r="R138" s="38"/>
      <c r="S138" s="1">
        <v>22.539639999999999</v>
      </c>
      <c r="T138" s="31"/>
      <c r="U138" s="41"/>
    </row>
    <row r="139" spans="1:21" ht="16" x14ac:dyDescent="0.2">
      <c r="A139" s="31"/>
      <c r="B139" s="26"/>
      <c r="C139" s="26"/>
      <c r="D139" s="4" t="s">
        <v>11</v>
      </c>
      <c r="E139" s="2">
        <v>92.007159999999999</v>
      </c>
      <c r="F139" s="29"/>
      <c r="G139" s="38"/>
      <c r="H139" s="2">
        <v>39.029699999999998</v>
      </c>
      <c r="I139" s="29"/>
      <c r="J139" s="38"/>
      <c r="L139" s="31"/>
      <c r="M139" s="33"/>
      <c r="N139" s="26"/>
      <c r="O139" s="5" t="s">
        <v>11</v>
      </c>
      <c r="P139" s="2">
        <v>132.65722</v>
      </c>
      <c r="Q139" s="29"/>
      <c r="R139" s="38"/>
      <c r="S139" s="1">
        <v>29.26737</v>
      </c>
      <c r="T139" s="32"/>
      <c r="U139" s="41"/>
    </row>
    <row r="140" spans="1:21" ht="16" x14ac:dyDescent="0.2">
      <c r="A140" s="31"/>
      <c r="B140" s="26"/>
      <c r="C140" s="26">
        <v>3</v>
      </c>
      <c r="D140" s="4" t="s">
        <v>7</v>
      </c>
      <c r="E140" s="2">
        <v>79.220039999999997</v>
      </c>
      <c r="F140" s="27">
        <f t="shared" ref="F140" si="117">AVERAGE(E140:E144)</f>
        <v>90.434705999999991</v>
      </c>
      <c r="G140" s="38"/>
      <c r="H140" s="2">
        <v>36.157310000000003</v>
      </c>
      <c r="I140" s="27">
        <f t="shared" ref="I140" si="118">AVERAGE(H140:H144)</f>
        <v>37.296852000000001</v>
      </c>
      <c r="J140" s="38"/>
      <c r="L140" s="31"/>
      <c r="M140" s="33"/>
      <c r="N140" s="26">
        <v>3</v>
      </c>
      <c r="O140" s="5" t="s">
        <v>7</v>
      </c>
      <c r="P140" s="2">
        <v>161.80123</v>
      </c>
      <c r="Q140" s="27">
        <f t="shared" ref="Q140" si="119">AVERAGE(P140:P144)</f>
        <v>138.101788</v>
      </c>
      <c r="R140" s="38"/>
      <c r="S140" s="1">
        <v>28.457330000000002</v>
      </c>
      <c r="T140" s="30">
        <f t="shared" ref="T140" si="120">AVERAGE(S140:S144)</f>
        <v>29.226426000000004</v>
      </c>
      <c r="U140" s="41"/>
    </row>
    <row r="141" spans="1:21" ht="16" x14ac:dyDescent="0.2">
      <c r="A141" s="31"/>
      <c r="B141" s="26"/>
      <c r="C141" s="26"/>
      <c r="D141" s="4" t="s">
        <v>8</v>
      </c>
      <c r="E141" s="2">
        <v>108.74126</v>
      </c>
      <c r="F141" s="28"/>
      <c r="G141" s="38"/>
      <c r="H141" s="2">
        <v>40.940349999999995</v>
      </c>
      <c r="I141" s="28"/>
      <c r="J141" s="38"/>
      <c r="L141" s="31"/>
      <c r="M141" s="33"/>
      <c r="N141" s="26"/>
      <c r="O141" s="5" t="s">
        <v>8</v>
      </c>
      <c r="P141" s="2">
        <v>105.29109</v>
      </c>
      <c r="Q141" s="28"/>
      <c r="R141" s="38"/>
      <c r="S141" s="1">
        <v>34.029170000000001</v>
      </c>
      <c r="T141" s="31"/>
      <c r="U141" s="41"/>
    </row>
    <row r="142" spans="1:21" ht="16" x14ac:dyDescent="0.2">
      <c r="A142" s="31"/>
      <c r="B142" s="26"/>
      <c r="C142" s="26"/>
      <c r="D142" s="4" t="s">
        <v>9</v>
      </c>
      <c r="E142" s="2">
        <v>101.41352000000001</v>
      </c>
      <c r="F142" s="28"/>
      <c r="G142" s="38"/>
      <c r="H142" s="2">
        <v>35.142049999999998</v>
      </c>
      <c r="I142" s="28"/>
      <c r="J142" s="38"/>
      <c r="L142" s="31"/>
      <c r="M142" s="33"/>
      <c r="N142" s="26"/>
      <c r="O142" s="5" t="s">
        <v>9</v>
      </c>
      <c r="P142" s="2">
        <v>154.11653000000001</v>
      </c>
      <c r="Q142" s="28"/>
      <c r="R142" s="38"/>
      <c r="S142" s="1">
        <v>29.181010000000001</v>
      </c>
      <c r="T142" s="31"/>
      <c r="U142" s="41"/>
    </row>
    <row r="143" spans="1:21" ht="16" x14ac:dyDescent="0.2">
      <c r="A143" s="31"/>
      <c r="B143" s="26"/>
      <c r="C143" s="26"/>
      <c r="D143" s="4" t="s">
        <v>10</v>
      </c>
      <c r="E143" s="2">
        <v>75.307640000000006</v>
      </c>
      <c r="F143" s="28"/>
      <c r="G143" s="38"/>
      <c r="H143" s="2">
        <v>33.388130000000004</v>
      </c>
      <c r="I143" s="28"/>
      <c r="J143" s="38"/>
      <c r="L143" s="31"/>
      <c r="M143" s="33"/>
      <c r="N143" s="26"/>
      <c r="O143" s="5" t="s">
        <v>10</v>
      </c>
      <c r="P143" s="2">
        <v>103.63385</v>
      </c>
      <c r="Q143" s="28"/>
      <c r="R143" s="38"/>
      <c r="S143" s="1">
        <v>31.560379999999999</v>
      </c>
      <c r="T143" s="31"/>
      <c r="U143" s="41"/>
    </row>
    <row r="144" spans="1:21" ht="16" x14ac:dyDescent="0.2">
      <c r="A144" s="31"/>
      <c r="B144" s="26"/>
      <c r="C144" s="26"/>
      <c r="D144" s="4" t="s">
        <v>11</v>
      </c>
      <c r="E144" s="2">
        <v>87.491069999999993</v>
      </c>
      <c r="F144" s="29"/>
      <c r="G144" s="38"/>
      <c r="H144" s="2">
        <v>40.85642</v>
      </c>
      <c r="I144" s="29"/>
      <c r="J144" s="38"/>
      <c r="L144" s="31"/>
      <c r="M144" s="33"/>
      <c r="N144" s="26"/>
      <c r="O144" s="5" t="s">
        <v>11</v>
      </c>
      <c r="P144" s="2">
        <v>165.66623999999999</v>
      </c>
      <c r="Q144" s="29"/>
      <c r="R144" s="38"/>
      <c r="S144" s="1">
        <v>22.904240000000001</v>
      </c>
      <c r="T144" s="32"/>
      <c r="U144" s="41"/>
    </row>
    <row r="145" spans="1:21" ht="16" x14ac:dyDescent="0.2">
      <c r="A145" s="31"/>
      <c r="B145" s="26"/>
      <c r="C145" s="26">
        <v>4</v>
      </c>
      <c r="D145" s="4" t="s">
        <v>7</v>
      </c>
      <c r="E145" s="2">
        <v>103.61421</v>
      </c>
      <c r="F145" s="27">
        <f t="shared" ref="F145" si="121">AVERAGE(E145:E149)</f>
        <v>92.26824400000001</v>
      </c>
      <c r="G145" s="38"/>
      <c r="H145" s="2">
        <v>30.849050000000002</v>
      </c>
      <c r="I145" s="27">
        <f t="shared" ref="I145" si="122">AVERAGE(H145:H149)</f>
        <v>36.125802</v>
      </c>
      <c r="J145" s="38"/>
      <c r="L145" s="31"/>
      <c r="M145" s="33"/>
      <c r="N145" s="26">
        <v>4</v>
      </c>
      <c r="O145" s="5" t="s">
        <v>7</v>
      </c>
      <c r="P145" s="2">
        <v>190.43136999999999</v>
      </c>
      <c r="Q145" s="27">
        <f t="shared" ref="Q145" si="123">AVERAGE(P145:P149)</f>
        <v>140.697866</v>
      </c>
      <c r="R145" s="38"/>
      <c r="S145" s="1">
        <v>41.555889999999998</v>
      </c>
      <c r="T145" s="30">
        <f t="shared" ref="T145" si="124">AVERAGE(S145:S149)</f>
        <v>34.289169999999999</v>
      </c>
      <c r="U145" s="41"/>
    </row>
    <row r="146" spans="1:21" ht="16" x14ac:dyDescent="0.2">
      <c r="A146" s="31"/>
      <c r="B146" s="26"/>
      <c r="C146" s="26"/>
      <c r="D146" s="4" t="s">
        <v>8</v>
      </c>
      <c r="E146" s="2">
        <v>70.333950000000002</v>
      </c>
      <c r="F146" s="28"/>
      <c r="G146" s="38"/>
      <c r="H146" s="2">
        <v>34.24062</v>
      </c>
      <c r="I146" s="28"/>
      <c r="J146" s="38"/>
      <c r="L146" s="31"/>
      <c r="M146" s="33"/>
      <c r="N146" s="26"/>
      <c r="O146" s="5" t="s">
        <v>8</v>
      </c>
      <c r="P146" s="2">
        <v>114.62667999999999</v>
      </c>
      <c r="Q146" s="28"/>
      <c r="R146" s="38"/>
      <c r="S146" s="1">
        <v>37.497810000000001</v>
      </c>
      <c r="T146" s="31"/>
      <c r="U146" s="41"/>
    </row>
    <row r="147" spans="1:21" ht="16" x14ac:dyDescent="0.2">
      <c r="A147" s="31"/>
      <c r="B147" s="26"/>
      <c r="C147" s="26"/>
      <c r="D147" s="4" t="s">
        <v>9</v>
      </c>
      <c r="E147" s="2">
        <v>76.242130000000003</v>
      </c>
      <c r="F147" s="28"/>
      <c r="G147" s="38"/>
      <c r="H147" s="2">
        <v>38.168010000000002</v>
      </c>
      <c r="I147" s="28"/>
      <c r="J147" s="38"/>
      <c r="L147" s="31"/>
      <c r="M147" s="33"/>
      <c r="N147" s="26"/>
      <c r="O147" s="5" t="s">
        <v>9</v>
      </c>
      <c r="P147" s="2">
        <v>160.95913000000002</v>
      </c>
      <c r="Q147" s="28"/>
      <c r="R147" s="38"/>
      <c r="S147" s="1">
        <v>36.453020000000002</v>
      </c>
      <c r="T147" s="31"/>
      <c r="U147" s="41"/>
    </row>
    <row r="148" spans="1:21" ht="16" x14ac:dyDescent="0.2">
      <c r="A148" s="31"/>
      <c r="B148" s="26"/>
      <c r="C148" s="26"/>
      <c r="D148" s="4" t="s">
        <v>10</v>
      </c>
      <c r="E148" s="2">
        <v>77.772559999999999</v>
      </c>
      <c r="F148" s="28"/>
      <c r="G148" s="38"/>
      <c r="H148" s="2">
        <v>42.051790000000004</v>
      </c>
      <c r="I148" s="28"/>
      <c r="J148" s="38"/>
      <c r="L148" s="31"/>
      <c r="M148" s="33"/>
      <c r="N148" s="26"/>
      <c r="O148" s="5" t="s">
        <v>10</v>
      </c>
      <c r="P148" s="2">
        <v>101.63472</v>
      </c>
      <c r="Q148" s="28"/>
      <c r="R148" s="38"/>
      <c r="S148" s="1">
        <v>32.936770000000003</v>
      </c>
      <c r="T148" s="31"/>
      <c r="U148" s="41"/>
    </row>
    <row r="149" spans="1:21" ht="16" x14ac:dyDescent="0.2">
      <c r="A149" s="31"/>
      <c r="B149" s="26"/>
      <c r="C149" s="26"/>
      <c r="D149" s="4" t="s">
        <v>11</v>
      </c>
      <c r="E149" s="2">
        <v>133.37836999999999</v>
      </c>
      <c r="F149" s="29"/>
      <c r="G149" s="38"/>
      <c r="H149" s="2">
        <v>35.319540000000003</v>
      </c>
      <c r="I149" s="29"/>
      <c r="J149" s="38"/>
      <c r="L149" s="31"/>
      <c r="M149" s="33"/>
      <c r="N149" s="26"/>
      <c r="O149" s="5" t="s">
        <v>11</v>
      </c>
      <c r="P149" s="2">
        <v>135.83743000000001</v>
      </c>
      <c r="Q149" s="29"/>
      <c r="R149" s="38"/>
      <c r="S149" s="1">
        <v>23.002359999999999</v>
      </c>
      <c r="T149" s="32"/>
      <c r="U149" s="41"/>
    </row>
    <row r="150" spans="1:21" ht="16" x14ac:dyDescent="0.2">
      <c r="A150" s="31"/>
      <c r="B150" s="26"/>
      <c r="C150" s="26">
        <v>5</v>
      </c>
      <c r="D150" s="4" t="s">
        <v>7</v>
      </c>
      <c r="E150" s="2">
        <v>77.420349999999999</v>
      </c>
      <c r="F150" s="27">
        <f t="shared" ref="F150" si="125">AVERAGE(E150:E154)</f>
        <v>88.736238</v>
      </c>
      <c r="G150" s="38"/>
      <c r="H150" s="2">
        <v>40.97728</v>
      </c>
      <c r="I150" s="27">
        <f t="shared" ref="I150" si="126">AVERAGE(H150:H154)</f>
        <v>37.597022000000003</v>
      </c>
      <c r="J150" s="38"/>
      <c r="L150" s="31"/>
      <c r="M150" s="33"/>
      <c r="N150" s="26">
        <v>5</v>
      </c>
      <c r="O150" s="5" t="s">
        <v>7</v>
      </c>
      <c r="P150" s="2">
        <v>181.01937000000001</v>
      </c>
      <c r="Q150" s="27">
        <f t="shared" ref="Q150" si="127">AVERAGE(P150:P154)</f>
        <v>136.578362</v>
      </c>
      <c r="R150" s="38"/>
      <c r="S150" s="1">
        <v>37.380050000000004</v>
      </c>
      <c r="T150" s="30">
        <f t="shared" ref="T150" si="128">AVERAGE(S150:S154)</f>
        <v>32.432467999999993</v>
      </c>
      <c r="U150" s="41"/>
    </row>
    <row r="151" spans="1:21" ht="16" x14ac:dyDescent="0.2">
      <c r="A151" s="31"/>
      <c r="B151" s="26"/>
      <c r="C151" s="26"/>
      <c r="D151" s="4" t="s">
        <v>8</v>
      </c>
      <c r="E151" s="2">
        <v>87.203520000000012</v>
      </c>
      <c r="F151" s="28"/>
      <c r="G151" s="38"/>
      <c r="H151" s="2">
        <v>35.538600000000002</v>
      </c>
      <c r="I151" s="28"/>
      <c r="J151" s="38"/>
      <c r="L151" s="31"/>
      <c r="M151" s="33"/>
      <c r="N151" s="26"/>
      <c r="O151" s="5" t="s">
        <v>8</v>
      </c>
      <c r="P151" s="2">
        <v>133.93012000000002</v>
      </c>
      <c r="Q151" s="28"/>
      <c r="R151" s="38"/>
      <c r="S151" s="1">
        <v>24.350169999999999</v>
      </c>
      <c r="T151" s="31"/>
      <c r="U151" s="41"/>
    </row>
    <row r="152" spans="1:21" ht="16" x14ac:dyDescent="0.2">
      <c r="A152" s="31"/>
      <c r="B152" s="26"/>
      <c r="C152" s="26"/>
      <c r="D152" s="4" t="s">
        <v>9</v>
      </c>
      <c r="E152" s="2">
        <v>77.791440000000009</v>
      </c>
      <c r="F152" s="28"/>
      <c r="G152" s="38"/>
      <c r="H152" s="2">
        <v>35.664099999999998</v>
      </c>
      <c r="I152" s="28"/>
      <c r="J152" s="38"/>
      <c r="L152" s="31"/>
      <c r="M152" s="33"/>
      <c r="N152" s="26"/>
      <c r="O152" s="5" t="s">
        <v>9</v>
      </c>
      <c r="P152" s="2">
        <v>134.07640000000001</v>
      </c>
      <c r="Q152" s="28"/>
      <c r="R152" s="38"/>
      <c r="S152" s="1">
        <v>26.47335</v>
      </c>
      <c r="T152" s="31"/>
      <c r="U152" s="41"/>
    </row>
    <row r="153" spans="1:21" ht="16" x14ac:dyDescent="0.2">
      <c r="A153" s="31"/>
      <c r="B153" s="26"/>
      <c r="C153" s="26"/>
      <c r="D153" s="4" t="s">
        <v>10</v>
      </c>
      <c r="E153" s="2">
        <v>107.67145000000001</v>
      </c>
      <c r="F153" s="28"/>
      <c r="G153" s="38"/>
      <c r="H153" s="2">
        <v>34.779330000000002</v>
      </c>
      <c r="I153" s="28"/>
      <c r="J153" s="38"/>
      <c r="L153" s="31"/>
      <c r="M153" s="33"/>
      <c r="N153" s="26"/>
      <c r="O153" s="5" t="s">
        <v>10</v>
      </c>
      <c r="P153" s="2">
        <v>133.89806000000002</v>
      </c>
      <c r="Q153" s="28"/>
      <c r="R153" s="38"/>
      <c r="S153" s="1">
        <v>37.815019999999997</v>
      </c>
      <c r="T153" s="31"/>
      <c r="U153" s="41"/>
    </row>
    <row r="154" spans="1:21" ht="16" x14ac:dyDescent="0.2">
      <c r="A154" s="32"/>
      <c r="B154" s="26"/>
      <c r="C154" s="26"/>
      <c r="D154" s="4" t="s">
        <v>11</v>
      </c>
      <c r="E154" s="2">
        <v>93.594429999999988</v>
      </c>
      <c r="F154" s="29"/>
      <c r="G154" s="39"/>
      <c r="H154" s="2">
        <v>41.025799999999997</v>
      </c>
      <c r="I154" s="29"/>
      <c r="J154" s="39"/>
      <c r="L154" s="32"/>
      <c r="M154" s="33"/>
      <c r="N154" s="26"/>
      <c r="O154" s="5" t="s">
        <v>11</v>
      </c>
      <c r="P154" s="2">
        <v>99.967860000000002</v>
      </c>
      <c r="Q154" s="29"/>
      <c r="R154" s="39"/>
      <c r="S154" s="1">
        <v>36.143749999999997</v>
      </c>
      <c r="T154" s="32"/>
      <c r="U154" s="42"/>
    </row>
    <row r="155" spans="1:21" ht="16" x14ac:dyDescent="0.2">
      <c r="A155" s="30" t="s">
        <v>2</v>
      </c>
      <c r="B155" s="33">
        <v>1</v>
      </c>
      <c r="C155" s="26">
        <v>1</v>
      </c>
      <c r="D155" s="4" t="s">
        <v>7</v>
      </c>
      <c r="E155" s="2">
        <v>88.372860000000003</v>
      </c>
      <c r="F155" s="27">
        <f t="shared" ref="F155" si="129">AVERAGE(E155:E159)</f>
        <v>90.573370000000011</v>
      </c>
      <c r="G155" s="37">
        <f>AVERAGE(F155:F179)</f>
        <v>95.1672844</v>
      </c>
      <c r="H155" s="2">
        <v>38.981930000000006</v>
      </c>
      <c r="I155" s="27">
        <f t="shared" ref="I155" si="130">AVERAGE(H155:H159)</f>
        <v>37.860861999999997</v>
      </c>
      <c r="J155" s="37">
        <f t="shared" ref="J155" si="131">AVERAGE(I155:I179)</f>
        <v>38.442257999999995</v>
      </c>
      <c r="L155" s="30" t="s">
        <v>19</v>
      </c>
      <c r="M155" s="33">
        <v>1</v>
      </c>
      <c r="N155" s="26">
        <v>1</v>
      </c>
      <c r="O155" s="5" t="s">
        <v>7</v>
      </c>
      <c r="P155" s="2">
        <v>69.267309999999995</v>
      </c>
      <c r="Q155" s="27">
        <f t="shared" ref="Q155" si="132">AVERAGE(P155:P159)</f>
        <v>126.772542</v>
      </c>
      <c r="R155" s="37">
        <f t="shared" ref="R155" si="133">AVERAGE(Q155:Q179)</f>
        <v>133.35034199999998</v>
      </c>
      <c r="S155" s="1">
        <v>22.240580000000001</v>
      </c>
      <c r="T155" s="30">
        <f t="shared" ref="T155" si="134">AVERAGE(S155:S159)</f>
        <v>28.528356000000002</v>
      </c>
      <c r="U155" s="40">
        <f t="shared" ref="U155" si="135">AVERAGE(T155:T179)</f>
        <v>30.7571884</v>
      </c>
    </row>
    <row r="156" spans="1:21" ht="16" x14ac:dyDescent="0.2">
      <c r="A156" s="31"/>
      <c r="B156" s="33"/>
      <c r="C156" s="26"/>
      <c r="D156" s="4" t="s">
        <v>8</v>
      </c>
      <c r="E156" s="2">
        <v>101.20544</v>
      </c>
      <c r="F156" s="28"/>
      <c r="G156" s="38"/>
      <c r="H156" s="2">
        <v>34.071170000000002</v>
      </c>
      <c r="I156" s="28"/>
      <c r="J156" s="38"/>
      <c r="L156" s="31"/>
      <c r="M156" s="33"/>
      <c r="N156" s="26"/>
      <c r="O156" s="5" t="s">
        <v>8</v>
      </c>
      <c r="P156" s="2">
        <v>161.45231000000001</v>
      </c>
      <c r="Q156" s="28"/>
      <c r="R156" s="38"/>
      <c r="S156" s="1">
        <v>35.578780000000002</v>
      </c>
      <c r="T156" s="31"/>
      <c r="U156" s="41"/>
    </row>
    <row r="157" spans="1:21" ht="16" x14ac:dyDescent="0.2">
      <c r="A157" s="31"/>
      <c r="B157" s="33"/>
      <c r="C157" s="26"/>
      <c r="D157" s="4" t="s">
        <v>9</v>
      </c>
      <c r="E157" s="2">
        <v>75.406760000000006</v>
      </c>
      <c r="F157" s="28"/>
      <c r="G157" s="38"/>
      <c r="H157" s="2">
        <v>39.031039999999997</v>
      </c>
      <c r="I157" s="28"/>
      <c r="J157" s="38"/>
      <c r="L157" s="31"/>
      <c r="M157" s="33"/>
      <c r="N157" s="26"/>
      <c r="O157" s="5" t="s">
        <v>9</v>
      </c>
      <c r="P157" s="2">
        <v>77.891530000000003</v>
      </c>
      <c r="Q157" s="28"/>
      <c r="R157" s="38"/>
      <c r="S157" s="1">
        <v>31.316799999999997</v>
      </c>
      <c r="T157" s="31"/>
      <c r="U157" s="41"/>
    </row>
    <row r="158" spans="1:21" ht="16" x14ac:dyDescent="0.2">
      <c r="A158" s="31"/>
      <c r="B158" s="33"/>
      <c r="C158" s="26"/>
      <c r="D158" s="4" t="s">
        <v>10</v>
      </c>
      <c r="E158" s="2">
        <v>98.687880000000007</v>
      </c>
      <c r="F158" s="28"/>
      <c r="G158" s="38"/>
      <c r="H158" s="2">
        <v>36.543550000000003</v>
      </c>
      <c r="I158" s="28"/>
      <c r="J158" s="38"/>
      <c r="L158" s="31"/>
      <c r="M158" s="33"/>
      <c r="N158" s="26"/>
      <c r="O158" s="5" t="s">
        <v>10</v>
      </c>
      <c r="P158" s="2">
        <v>178.4075</v>
      </c>
      <c r="Q158" s="28"/>
      <c r="R158" s="38"/>
      <c r="S158" s="1">
        <v>25.276250000000001</v>
      </c>
      <c r="T158" s="31"/>
      <c r="U158" s="41"/>
    </row>
    <row r="159" spans="1:21" ht="16" x14ac:dyDescent="0.2">
      <c r="A159" s="31"/>
      <c r="B159" s="33"/>
      <c r="C159" s="26"/>
      <c r="D159" s="4" t="s">
        <v>11</v>
      </c>
      <c r="E159" s="2">
        <v>89.193910000000002</v>
      </c>
      <c r="F159" s="29"/>
      <c r="G159" s="38"/>
      <c r="H159" s="2">
        <v>40.67662</v>
      </c>
      <c r="I159" s="29"/>
      <c r="J159" s="38"/>
      <c r="L159" s="31"/>
      <c r="M159" s="33"/>
      <c r="N159" s="26"/>
      <c r="O159" s="5" t="s">
        <v>11</v>
      </c>
      <c r="P159" s="2">
        <v>146.84406000000001</v>
      </c>
      <c r="Q159" s="29"/>
      <c r="R159" s="38"/>
      <c r="S159" s="1">
        <v>28.229369999999999</v>
      </c>
      <c r="T159" s="32"/>
      <c r="U159" s="41"/>
    </row>
    <row r="160" spans="1:21" ht="16" x14ac:dyDescent="0.2">
      <c r="A160" s="31"/>
      <c r="B160" s="33"/>
      <c r="C160" s="26">
        <v>2</v>
      </c>
      <c r="D160" s="4" t="s">
        <v>7</v>
      </c>
      <c r="E160" s="2">
        <v>100.16655</v>
      </c>
      <c r="F160" s="27">
        <f t="shared" ref="F160" si="136">AVERAGE(E160:E164)</f>
        <v>99.709902</v>
      </c>
      <c r="G160" s="38"/>
      <c r="H160" s="2">
        <v>36.668089999999999</v>
      </c>
      <c r="I160" s="27">
        <f t="shared" ref="I160" si="137">AVERAGE(H160:H164)</f>
        <v>39.478763999999998</v>
      </c>
      <c r="J160" s="38"/>
      <c r="L160" s="31"/>
      <c r="M160" s="33"/>
      <c r="N160" s="26">
        <v>2</v>
      </c>
      <c r="O160" s="5" t="s">
        <v>7</v>
      </c>
      <c r="P160" s="2">
        <v>167.81554</v>
      </c>
      <c r="Q160" s="27">
        <f t="shared" ref="Q160" si="138">AVERAGE(P160:P164)</f>
        <v>129.71679599999999</v>
      </c>
      <c r="R160" s="38"/>
      <c r="S160" s="1">
        <v>29.950569999999999</v>
      </c>
      <c r="T160" s="30">
        <f t="shared" ref="T160" si="139">AVERAGE(S160:S164)</f>
        <v>33.176777999999999</v>
      </c>
      <c r="U160" s="41"/>
    </row>
    <row r="161" spans="1:21" ht="16" x14ac:dyDescent="0.2">
      <c r="A161" s="31"/>
      <c r="B161" s="33"/>
      <c r="C161" s="26"/>
      <c r="D161" s="4" t="s">
        <v>8</v>
      </c>
      <c r="E161" s="2">
        <v>100.16655</v>
      </c>
      <c r="F161" s="28"/>
      <c r="G161" s="38"/>
      <c r="H161" s="2">
        <v>38.168010000000002</v>
      </c>
      <c r="I161" s="28"/>
      <c r="J161" s="38"/>
      <c r="L161" s="31"/>
      <c r="M161" s="33"/>
      <c r="N161" s="26"/>
      <c r="O161" s="5" t="s">
        <v>8</v>
      </c>
      <c r="P161" s="2">
        <v>99.600840000000005</v>
      </c>
      <c r="Q161" s="28"/>
      <c r="R161" s="38"/>
      <c r="S161" s="1">
        <v>31.672899999999998</v>
      </c>
      <c r="T161" s="31"/>
      <c r="U161" s="41"/>
    </row>
    <row r="162" spans="1:21" ht="16" x14ac:dyDescent="0.2">
      <c r="A162" s="31"/>
      <c r="B162" s="33"/>
      <c r="C162" s="26"/>
      <c r="D162" s="4" t="s">
        <v>9</v>
      </c>
      <c r="E162" s="2">
        <v>87.719989999999996</v>
      </c>
      <c r="F162" s="28"/>
      <c r="G162" s="38"/>
      <c r="H162" s="2">
        <v>40.811610000000002</v>
      </c>
      <c r="I162" s="28"/>
      <c r="J162" s="38"/>
      <c r="L162" s="31"/>
      <c r="M162" s="33"/>
      <c r="N162" s="26"/>
      <c r="O162" s="5" t="s">
        <v>9</v>
      </c>
      <c r="P162" s="2">
        <v>93.580159999999992</v>
      </c>
      <c r="Q162" s="28"/>
      <c r="R162" s="38"/>
      <c r="S162" s="1">
        <v>31.753780000000003</v>
      </c>
      <c r="T162" s="31"/>
      <c r="U162" s="41"/>
    </row>
    <row r="163" spans="1:21" ht="16" x14ac:dyDescent="0.2">
      <c r="A163" s="31"/>
      <c r="B163" s="33"/>
      <c r="C163" s="26"/>
      <c r="D163" s="4" t="s">
        <v>10</v>
      </c>
      <c r="E163" s="2">
        <v>88.113919999999993</v>
      </c>
      <c r="F163" s="28"/>
      <c r="G163" s="38"/>
      <c r="H163" s="2">
        <v>41.1875</v>
      </c>
      <c r="I163" s="28"/>
      <c r="J163" s="38"/>
      <c r="L163" s="31"/>
      <c r="M163" s="33"/>
      <c r="N163" s="26"/>
      <c r="O163" s="5" t="s">
        <v>10</v>
      </c>
      <c r="P163" s="2">
        <v>188.73699999999999</v>
      </c>
      <c r="Q163" s="28"/>
      <c r="R163" s="38"/>
      <c r="S163" s="1">
        <v>35.288470000000004</v>
      </c>
      <c r="T163" s="31"/>
      <c r="U163" s="41"/>
    </row>
    <row r="164" spans="1:21" ht="16" x14ac:dyDescent="0.2">
      <c r="A164" s="31"/>
      <c r="B164" s="33"/>
      <c r="C164" s="26"/>
      <c r="D164" s="4" t="s">
        <v>11</v>
      </c>
      <c r="E164" s="2">
        <v>122.38249999999999</v>
      </c>
      <c r="F164" s="29"/>
      <c r="G164" s="38"/>
      <c r="H164" s="2">
        <v>40.558610000000002</v>
      </c>
      <c r="I164" s="29"/>
      <c r="J164" s="38"/>
      <c r="L164" s="31"/>
      <c r="M164" s="33"/>
      <c r="N164" s="26"/>
      <c r="O164" s="5" t="s">
        <v>11</v>
      </c>
      <c r="P164" s="2">
        <v>98.850439999999992</v>
      </c>
      <c r="Q164" s="29"/>
      <c r="R164" s="38"/>
      <c r="S164" s="1">
        <v>37.218170000000001</v>
      </c>
      <c r="T164" s="32"/>
      <c r="U164" s="41"/>
    </row>
    <row r="165" spans="1:21" ht="16" x14ac:dyDescent="0.2">
      <c r="A165" s="31"/>
      <c r="B165" s="33"/>
      <c r="C165" s="26">
        <v>3</v>
      </c>
      <c r="D165" s="4" t="s">
        <v>7</v>
      </c>
      <c r="E165" s="2">
        <v>80.344179999999994</v>
      </c>
      <c r="F165" s="27">
        <f t="shared" ref="F165" si="140">AVERAGE(E165:E169)</f>
        <v>96.141264000000007</v>
      </c>
      <c r="G165" s="38"/>
      <c r="H165" s="2">
        <v>34.83625</v>
      </c>
      <c r="I165" s="27">
        <f t="shared" ref="I165" si="141">AVERAGE(H165:H169)</f>
        <v>38.578553999999997</v>
      </c>
      <c r="J165" s="38"/>
      <c r="L165" s="31"/>
      <c r="M165" s="33"/>
      <c r="N165" s="26">
        <v>3</v>
      </c>
      <c r="O165" s="5" t="s">
        <v>7</v>
      </c>
      <c r="P165" s="2">
        <v>87.484770000000012</v>
      </c>
      <c r="Q165" s="27">
        <f t="shared" ref="Q165" si="142">AVERAGE(P165:P169)</f>
        <v>137.96505999999999</v>
      </c>
      <c r="R165" s="38"/>
      <c r="S165" s="1">
        <v>39.294090000000004</v>
      </c>
      <c r="T165" s="30">
        <f t="shared" ref="T165" si="143">AVERAGE(S165:S169)</f>
        <v>30.396201999999999</v>
      </c>
      <c r="U165" s="41"/>
    </row>
    <row r="166" spans="1:21" ht="16" x14ac:dyDescent="0.2">
      <c r="A166" s="31"/>
      <c r="B166" s="33"/>
      <c r="C166" s="26"/>
      <c r="D166" s="4" t="s">
        <v>8</v>
      </c>
      <c r="E166" s="2">
        <v>86.48881999999999</v>
      </c>
      <c r="F166" s="28"/>
      <c r="G166" s="38"/>
      <c r="H166" s="2">
        <v>37.109400000000001</v>
      </c>
      <c r="I166" s="28"/>
      <c r="J166" s="38"/>
      <c r="L166" s="31"/>
      <c r="M166" s="33"/>
      <c r="N166" s="26"/>
      <c r="O166" s="5" t="s">
        <v>8</v>
      </c>
      <c r="P166" s="2">
        <v>85.697450000000003</v>
      </c>
      <c r="Q166" s="28"/>
      <c r="R166" s="38"/>
      <c r="S166" s="1">
        <v>35.863779999999998</v>
      </c>
      <c r="T166" s="31"/>
      <c r="U166" s="41"/>
    </row>
    <row r="167" spans="1:21" ht="16" x14ac:dyDescent="0.2">
      <c r="A167" s="31"/>
      <c r="B167" s="33"/>
      <c r="C167" s="26"/>
      <c r="D167" s="4" t="s">
        <v>9</v>
      </c>
      <c r="E167" s="2">
        <v>99.453639999999993</v>
      </c>
      <c r="F167" s="28"/>
      <c r="G167" s="38"/>
      <c r="H167" s="2">
        <v>43.586850000000005</v>
      </c>
      <c r="I167" s="28"/>
      <c r="J167" s="38"/>
      <c r="L167" s="31"/>
      <c r="M167" s="33"/>
      <c r="N167" s="26"/>
      <c r="O167" s="5" t="s">
        <v>9</v>
      </c>
      <c r="P167" s="2">
        <v>189.44111000000001</v>
      </c>
      <c r="Q167" s="28"/>
      <c r="R167" s="38"/>
      <c r="S167" s="1">
        <v>21.86159</v>
      </c>
      <c r="T167" s="31"/>
      <c r="U167" s="41"/>
    </row>
    <row r="168" spans="1:21" ht="16" x14ac:dyDescent="0.2">
      <c r="A168" s="31"/>
      <c r="B168" s="33"/>
      <c r="C168" s="26"/>
      <c r="D168" s="4" t="s">
        <v>10</v>
      </c>
      <c r="E168" s="2">
        <v>110.0733</v>
      </c>
      <c r="F168" s="28"/>
      <c r="G168" s="38"/>
      <c r="H168" s="2">
        <v>39.378369999999997</v>
      </c>
      <c r="I168" s="28"/>
      <c r="J168" s="38"/>
      <c r="L168" s="31"/>
      <c r="M168" s="33"/>
      <c r="N168" s="26"/>
      <c r="O168" s="5" t="s">
        <v>10</v>
      </c>
      <c r="P168" s="2">
        <v>171.88928999999999</v>
      </c>
      <c r="Q168" s="28"/>
      <c r="R168" s="38"/>
      <c r="S168" s="1">
        <v>25.12003</v>
      </c>
      <c r="T168" s="31"/>
      <c r="U168" s="41"/>
    </row>
    <row r="169" spans="1:21" ht="16" x14ac:dyDescent="0.2">
      <c r="A169" s="31"/>
      <c r="B169" s="33"/>
      <c r="C169" s="26"/>
      <c r="D169" s="4" t="s">
        <v>11</v>
      </c>
      <c r="E169" s="2">
        <v>104.34638000000001</v>
      </c>
      <c r="F169" s="29"/>
      <c r="G169" s="38"/>
      <c r="H169" s="2">
        <v>37.981900000000003</v>
      </c>
      <c r="I169" s="29"/>
      <c r="J169" s="38"/>
      <c r="L169" s="31"/>
      <c r="M169" s="33"/>
      <c r="N169" s="26"/>
      <c r="O169" s="5" t="s">
        <v>11</v>
      </c>
      <c r="P169" s="2">
        <v>155.31268</v>
      </c>
      <c r="Q169" s="29"/>
      <c r="R169" s="38"/>
      <c r="S169" s="1">
        <v>29.841519999999999</v>
      </c>
      <c r="T169" s="32"/>
      <c r="U169" s="41"/>
    </row>
    <row r="170" spans="1:21" ht="16" x14ac:dyDescent="0.2">
      <c r="A170" s="31"/>
      <c r="B170" s="33"/>
      <c r="C170" s="26">
        <v>4</v>
      </c>
      <c r="D170" s="4" t="s">
        <v>7</v>
      </c>
      <c r="E170" s="2">
        <v>110.12639999999999</v>
      </c>
      <c r="F170" s="27">
        <f t="shared" ref="F170" si="144">AVERAGE(E170:E174)</f>
        <v>95.288392000000016</v>
      </c>
      <c r="G170" s="38"/>
      <c r="H170" s="2">
        <v>38.312240000000003</v>
      </c>
      <c r="I170" s="27">
        <f t="shared" ref="I170" si="145">AVERAGE(H170:H174)</f>
        <v>39.298627999999994</v>
      </c>
      <c r="J170" s="38"/>
      <c r="L170" s="31"/>
      <c r="M170" s="33"/>
      <c r="N170" s="26">
        <v>4</v>
      </c>
      <c r="O170" s="5" t="s">
        <v>7</v>
      </c>
      <c r="P170" s="2">
        <v>87.712819999999994</v>
      </c>
      <c r="Q170" s="27">
        <f t="shared" ref="Q170" si="146">AVERAGE(P170:P174)</f>
        <v>137.531398</v>
      </c>
      <c r="R170" s="38"/>
      <c r="S170" s="1">
        <v>25.769349999999999</v>
      </c>
      <c r="T170" s="30">
        <f t="shared" ref="T170" si="147">AVERAGE(S170:S174)</f>
        <v>30.097051999999998</v>
      </c>
      <c r="U170" s="41"/>
    </row>
    <row r="171" spans="1:21" ht="16" x14ac:dyDescent="0.2">
      <c r="A171" s="31"/>
      <c r="B171" s="33"/>
      <c r="C171" s="26"/>
      <c r="D171" s="4" t="s">
        <v>8</v>
      </c>
      <c r="E171" s="2">
        <v>85.244100000000003</v>
      </c>
      <c r="F171" s="28"/>
      <c r="G171" s="38"/>
      <c r="H171" s="2">
        <v>43.731639999999999</v>
      </c>
      <c r="I171" s="28"/>
      <c r="J171" s="38"/>
      <c r="L171" s="31"/>
      <c r="M171" s="33"/>
      <c r="N171" s="26"/>
      <c r="O171" s="5" t="s">
        <v>8</v>
      </c>
      <c r="P171" s="2">
        <v>177.70643000000001</v>
      </c>
      <c r="Q171" s="28"/>
      <c r="R171" s="38"/>
      <c r="S171" s="1">
        <v>30.173909999999999</v>
      </c>
      <c r="T171" s="31"/>
      <c r="U171" s="41"/>
    </row>
    <row r="172" spans="1:21" ht="16" x14ac:dyDescent="0.2">
      <c r="A172" s="31"/>
      <c r="B172" s="33"/>
      <c r="C172" s="26"/>
      <c r="D172" s="4" t="s">
        <v>9</v>
      </c>
      <c r="E172" s="2">
        <v>85.065759999999997</v>
      </c>
      <c r="F172" s="28"/>
      <c r="G172" s="38"/>
      <c r="H172" s="2">
        <v>40.901119999999999</v>
      </c>
      <c r="I172" s="28"/>
      <c r="J172" s="38"/>
      <c r="L172" s="31"/>
      <c r="M172" s="33"/>
      <c r="N172" s="26"/>
      <c r="O172" s="5" t="s">
        <v>9</v>
      </c>
      <c r="P172" s="2">
        <v>161.78442999999999</v>
      </c>
      <c r="Q172" s="28"/>
      <c r="R172" s="38"/>
      <c r="S172" s="1">
        <v>28.38785</v>
      </c>
      <c r="T172" s="31"/>
      <c r="U172" s="41"/>
    </row>
    <row r="173" spans="1:21" ht="16" x14ac:dyDescent="0.2">
      <c r="A173" s="31"/>
      <c r="B173" s="33"/>
      <c r="C173" s="26"/>
      <c r="D173" s="4" t="s">
        <v>10</v>
      </c>
      <c r="E173" s="2">
        <v>101.39748</v>
      </c>
      <c r="F173" s="28"/>
      <c r="G173" s="38"/>
      <c r="H173" s="2">
        <v>38.981930000000006</v>
      </c>
      <c r="I173" s="28"/>
      <c r="J173" s="38"/>
      <c r="L173" s="31"/>
      <c r="M173" s="33"/>
      <c r="N173" s="26"/>
      <c r="O173" s="5" t="s">
        <v>10</v>
      </c>
      <c r="P173" s="2">
        <v>167.45117999999999</v>
      </c>
      <c r="Q173" s="28"/>
      <c r="R173" s="38"/>
      <c r="S173" s="1">
        <v>30.02197</v>
      </c>
      <c r="T173" s="31"/>
      <c r="U173" s="41"/>
    </row>
    <row r="174" spans="1:21" ht="16" x14ac:dyDescent="0.2">
      <c r="A174" s="31"/>
      <c r="B174" s="33"/>
      <c r="C174" s="26"/>
      <c r="D174" s="4" t="s">
        <v>11</v>
      </c>
      <c r="E174" s="2">
        <v>94.608220000000003</v>
      </c>
      <c r="F174" s="29"/>
      <c r="G174" s="38"/>
      <c r="H174" s="2">
        <v>34.566209999999998</v>
      </c>
      <c r="I174" s="29"/>
      <c r="J174" s="38"/>
      <c r="L174" s="31"/>
      <c r="M174" s="33"/>
      <c r="N174" s="26"/>
      <c r="O174" s="5" t="s">
        <v>11</v>
      </c>
      <c r="P174" s="2">
        <v>93.002129999999994</v>
      </c>
      <c r="Q174" s="29"/>
      <c r="R174" s="38"/>
      <c r="S174" s="1">
        <v>36.132179999999998</v>
      </c>
      <c r="T174" s="32"/>
      <c r="U174" s="41"/>
    </row>
    <row r="175" spans="1:21" ht="16" x14ac:dyDescent="0.2">
      <c r="A175" s="31"/>
      <c r="B175" s="33"/>
      <c r="C175" s="26">
        <v>5</v>
      </c>
      <c r="D175" s="4" t="s">
        <v>7</v>
      </c>
      <c r="E175" s="2">
        <v>79.69225999999999</v>
      </c>
      <c r="F175" s="27">
        <f t="shared" ref="F175" si="148">AVERAGE(E175:E179)</f>
        <v>94.123494000000008</v>
      </c>
      <c r="G175" s="38"/>
      <c r="H175" s="2">
        <v>34.414650000000002</v>
      </c>
      <c r="I175" s="27">
        <f t="shared" ref="I175" si="149">AVERAGE(H175:H179)</f>
        <v>36.994481999999998</v>
      </c>
      <c r="J175" s="38"/>
      <c r="L175" s="31"/>
      <c r="M175" s="33"/>
      <c r="N175" s="26">
        <v>5</v>
      </c>
      <c r="O175" s="5" t="s">
        <v>7</v>
      </c>
      <c r="P175" s="2">
        <v>136.87446</v>
      </c>
      <c r="Q175" s="27">
        <f t="shared" ref="Q175" si="150">AVERAGE(P175:P179)</f>
        <v>134.76591399999998</v>
      </c>
      <c r="R175" s="38"/>
      <c r="S175" s="1">
        <v>33.077210000000001</v>
      </c>
      <c r="T175" s="30">
        <f t="shared" ref="T175" si="151">AVERAGE(S175:S179)</f>
        <v>31.587554000000001</v>
      </c>
      <c r="U175" s="41"/>
    </row>
    <row r="176" spans="1:21" ht="16" x14ac:dyDescent="0.2">
      <c r="A176" s="31"/>
      <c r="B176" s="33"/>
      <c r="C176" s="26"/>
      <c r="D176" s="4" t="s">
        <v>8</v>
      </c>
      <c r="E176" s="2">
        <v>116.65295</v>
      </c>
      <c r="F176" s="28"/>
      <c r="G176" s="38"/>
      <c r="H176" s="2">
        <v>40.065899999999999</v>
      </c>
      <c r="I176" s="28"/>
      <c r="J176" s="38"/>
      <c r="L176" s="31"/>
      <c r="M176" s="33"/>
      <c r="N176" s="26"/>
      <c r="O176" s="5" t="s">
        <v>8</v>
      </c>
      <c r="P176" s="2">
        <v>149.71412000000001</v>
      </c>
      <c r="Q176" s="28"/>
      <c r="R176" s="38"/>
      <c r="S176" s="1">
        <v>31.864450000000001</v>
      </c>
      <c r="T176" s="31"/>
      <c r="U176" s="41"/>
    </row>
    <row r="177" spans="1:21" ht="16" x14ac:dyDescent="0.2">
      <c r="A177" s="31"/>
      <c r="B177" s="33"/>
      <c r="C177" s="26"/>
      <c r="D177" s="4" t="s">
        <v>9</v>
      </c>
      <c r="E177" s="2">
        <v>103.06477999999998</v>
      </c>
      <c r="F177" s="28"/>
      <c r="G177" s="38"/>
      <c r="H177" s="2">
        <v>36.678420000000003</v>
      </c>
      <c r="I177" s="28"/>
      <c r="J177" s="38"/>
      <c r="L177" s="31"/>
      <c r="M177" s="33"/>
      <c r="N177" s="26"/>
      <c r="O177" s="5" t="s">
        <v>9</v>
      </c>
      <c r="P177" s="2">
        <v>134.16755999999998</v>
      </c>
      <c r="Q177" s="28"/>
      <c r="R177" s="38"/>
      <c r="S177" s="1">
        <v>28.322310000000002</v>
      </c>
      <c r="T177" s="31"/>
      <c r="U177" s="41"/>
    </row>
    <row r="178" spans="1:21" ht="16" x14ac:dyDescent="0.2">
      <c r="A178" s="31"/>
      <c r="B178" s="33"/>
      <c r="C178" s="26"/>
      <c r="D178" s="4" t="s">
        <v>10</v>
      </c>
      <c r="E178" s="2">
        <v>93.652260000000012</v>
      </c>
      <c r="F178" s="28"/>
      <c r="G178" s="38"/>
      <c r="H178" s="2">
        <v>36.678420000000003</v>
      </c>
      <c r="I178" s="28"/>
      <c r="J178" s="38"/>
      <c r="L178" s="31"/>
      <c r="M178" s="33"/>
      <c r="N178" s="26"/>
      <c r="O178" s="5" t="s">
        <v>10</v>
      </c>
      <c r="P178" s="2">
        <v>86.794920000000005</v>
      </c>
      <c r="Q178" s="28"/>
      <c r="R178" s="38"/>
      <c r="S178" s="1">
        <v>33.934080000000002</v>
      </c>
      <c r="T178" s="31"/>
      <c r="U178" s="41"/>
    </row>
    <row r="179" spans="1:21" ht="16" x14ac:dyDescent="0.2">
      <c r="A179" s="31"/>
      <c r="B179" s="33"/>
      <c r="C179" s="26"/>
      <c r="D179" s="4" t="s">
        <v>11</v>
      </c>
      <c r="E179" s="2">
        <v>77.555220000000006</v>
      </c>
      <c r="F179" s="29"/>
      <c r="G179" s="39"/>
      <c r="H179" s="2">
        <v>37.135019999999997</v>
      </c>
      <c r="I179" s="29"/>
      <c r="J179" s="39"/>
      <c r="L179" s="31"/>
      <c r="M179" s="33"/>
      <c r="N179" s="26"/>
      <c r="O179" s="5" t="s">
        <v>11</v>
      </c>
      <c r="P179" s="2">
        <v>166.27850999999998</v>
      </c>
      <c r="Q179" s="29"/>
      <c r="R179" s="39"/>
      <c r="S179" s="1">
        <v>30.739720000000002</v>
      </c>
      <c r="T179" s="32"/>
      <c r="U179" s="42"/>
    </row>
    <row r="180" spans="1:21" ht="16" x14ac:dyDescent="0.2">
      <c r="A180" s="31"/>
      <c r="B180" s="26">
        <v>2</v>
      </c>
      <c r="C180" s="26">
        <v>1</v>
      </c>
      <c r="D180" s="4" t="s">
        <v>7</v>
      </c>
      <c r="E180" s="2">
        <v>104.23110000000001</v>
      </c>
      <c r="F180" s="27">
        <f t="shared" ref="F180" si="152">AVERAGE(E180:E184)</f>
        <v>88.884938000000005</v>
      </c>
      <c r="G180" s="37">
        <f>AVERAGE(F180:F204)</f>
        <v>93.116190000000003</v>
      </c>
      <c r="H180" s="2">
        <v>38.352979999999995</v>
      </c>
      <c r="I180" s="27">
        <f t="shared" ref="I180" si="153">AVERAGE(H180:H184)</f>
        <v>38.268605999999998</v>
      </c>
      <c r="J180" s="37">
        <f t="shared" ref="J180" si="154">AVERAGE(I180:I204)</f>
        <v>38.784243600000003</v>
      </c>
      <c r="L180" s="31"/>
      <c r="M180" s="33">
        <v>2</v>
      </c>
      <c r="N180" s="26">
        <v>1</v>
      </c>
      <c r="O180" s="5" t="s">
        <v>7</v>
      </c>
      <c r="P180" s="2">
        <v>114.22877</v>
      </c>
      <c r="Q180" s="27">
        <f t="shared" ref="Q180" si="155">AVERAGE(P180:P184)</f>
        <v>122.58251800000001</v>
      </c>
      <c r="R180" s="37">
        <f t="shared" ref="R180" si="156">AVERAGE(Q180:Q204)</f>
        <v>128.41999479999998</v>
      </c>
      <c r="S180" s="1">
        <v>24.211770000000001</v>
      </c>
      <c r="T180" s="30">
        <f t="shared" ref="T180" si="157">AVERAGE(S180:S184)</f>
        <v>33.766024000000002</v>
      </c>
      <c r="U180" s="40">
        <f t="shared" ref="U180" si="158">AVERAGE(T180:T204)</f>
        <v>30.4987216</v>
      </c>
    </row>
    <row r="181" spans="1:21" ht="16" x14ac:dyDescent="0.2">
      <c r="A181" s="31"/>
      <c r="B181" s="26"/>
      <c r="C181" s="26"/>
      <c r="D181" s="4" t="s">
        <v>8</v>
      </c>
      <c r="E181" s="2">
        <v>71.237979999999993</v>
      </c>
      <c r="F181" s="28"/>
      <c r="G181" s="38"/>
      <c r="H181" s="2">
        <v>37.728439999999999</v>
      </c>
      <c r="I181" s="28"/>
      <c r="J181" s="38"/>
      <c r="L181" s="31"/>
      <c r="M181" s="33"/>
      <c r="N181" s="26"/>
      <c r="O181" s="5" t="s">
        <v>8</v>
      </c>
      <c r="P181" s="2">
        <v>100.90165999999999</v>
      </c>
      <c r="Q181" s="28"/>
      <c r="R181" s="38"/>
      <c r="S181" s="1">
        <v>30.810580000000002</v>
      </c>
      <c r="T181" s="31"/>
      <c r="U181" s="41"/>
    </row>
    <row r="182" spans="1:21" ht="16" x14ac:dyDescent="0.2">
      <c r="A182" s="31"/>
      <c r="B182" s="26"/>
      <c r="C182" s="26"/>
      <c r="D182" s="4" t="s">
        <v>9</v>
      </c>
      <c r="E182" s="2">
        <v>76.730450000000005</v>
      </c>
      <c r="F182" s="28"/>
      <c r="G182" s="38"/>
      <c r="H182" s="2">
        <v>38.114940000000004</v>
      </c>
      <c r="I182" s="28"/>
      <c r="J182" s="38"/>
      <c r="L182" s="31"/>
      <c r="M182" s="33"/>
      <c r="N182" s="26"/>
      <c r="O182" s="5" t="s">
        <v>9</v>
      </c>
      <c r="P182" s="2">
        <v>135.77334000000002</v>
      </c>
      <c r="Q182" s="28"/>
      <c r="R182" s="38"/>
      <c r="S182" s="1">
        <v>31.52927</v>
      </c>
      <c r="T182" s="31"/>
      <c r="U182" s="41"/>
    </row>
    <row r="183" spans="1:21" ht="16" x14ac:dyDescent="0.2">
      <c r="A183" s="31"/>
      <c r="B183" s="26"/>
      <c r="C183" s="26"/>
      <c r="D183" s="4" t="s">
        <v>10</v>
      </c>
      <c r="E183" s="2">
        <v>88.043369999999996</v>
      </c>
      <c r="F183" s="28"/>
      <c r="G183" s="38"/>
      <c r="H183" s="2">
        <v>34.24062</v>
      </c>
      <c r="I183" s="28"/>
      <c r="J183" s="38"/>
      <c r="L183" s="31"/>
      <c r="M183" s="33"/>
      <c r="N183" s="26"/>
      <c r="O183" s="5" t="s">
        <v>10</v>
      </c>
      <c r="P183" s="2">
        <v>158.63783999999998</v>
      </c>
      <c r="Q183" s="28"/>
      <c r="R183" s="38"/>
      <c r="S183" s="1">
        <v>39.435220000000001</v>
      </c>
      <c r="T183" s="31"/>
      <c r="U183" s="41"/>
    </row>
    <row r="184" spans="1:21" ht="16" x14ac:dyDescent="0.2">
      <c r="A184" s="31"/>
      <c r="B184" s="26"/>
      <c r="C184" s="26"/>
      <c r="D184" s="4" t="s">
        <v>11</v>
      </c>
      <c r="E184" s="2">
        <v>104.18179000000001</v>
      </c>
      <c r="F184" s="29"/>
      <c r="G184" s="38"/>
      <c r="H184" s="2">
        <v>42.906049999999993</v>
      </c>
      <c r="I184" s="29"/>
      <c r="J184" s="38"/>
      <c r="L184" s="31"/>
      <c r="M184" s="33"/>
      <c r="N184" s="26"/>
      <c r="O184" s="5" t="s">
        <v>11</v>
      </c>
      <c r="P184" s="2">
        <v>103.37098</v>
      </c>
      <c r="Q184" s="29"/>
      <c r="R184" s="38"/>
      <c r="S184" s="1">
        <v>42.843280000000007</v>
      </c>
      <c r="T184" s="32"/>
      <c r="U184" s="41"/>
    </row>
    <row r="185" spans="1:21" ht="16" x14ac:dyDescent="0.2">
      <c r="A185" s="31"/>
      <c r="B185" s="26"/>
      <c r="C185" s="26">
        <v>2</v>
      </c>
      <c r="D185" s="4" t="s">
        <v>7</v>
      </c>
      <c r="E185" s="2">
        <v>97.241460000000004</v>
      </c>
      <c r="F185" s="27">
        <f t="shared" ref="F185" si="159">AVERAGE(E185:E189)</f>
        <v>97.456823999999997</v>
      </c>
      <c r="G185" s="38"/>
      <c r="H185" s="2">
        <v>43.691719999999997</v>
      </c>
      <c r="I185" s="27">
        <f t="shared" ref="I185" si="160">AVERAGE(H185:H189)</f>
        <v>38.436577999999997</v>
      </c>
      <c r="J185" s="38"/>
      <c r="L185" s="31"/>
      <c r="M185" s="33"/>
      <c r="N185" s="26">
        <v>2</v>
      </c>
      <c r="O185" s="5" t="s">
        <v>7</v>
      </c>
      <c r="P185" s="2">
        <v>151.64579000000001</v>
      </c>
      <c r="Q185" s="27">
        <f t="shared" ref="Q185" si="161">AVERAGE(P185:P189)</f>
        <v>140.278288</v>
      </c>
      <c r="R185" s="38"/>
      <c r="S185" s="1">
        <v>23.423259999999999</v>
      </c>
      <c r="T185" s="30">
        <f t="shared" ref="T185" si="162">AVERAGE(S185:S189)</f>
        <v>29.064545999999996</v>
      </c>
      <c r="U185" s="41"/>
    </row>
    <row r="186" spans="1:21" ht="16" x14ac:dyDescent="0.2">
      <c r="A186" s="31"/>
      <c r="B186" s="26"/>
      <c r="C186" s="26"/>
      <c r="D186" s="4" t="s">
        <v>8</v>
      </c>
      <c r="E186" s="2">
        <v>97.039659999999998</v>
      </c>
      <c r="F186" s="28"/>
      <c r="G186" s="38"/>
      <c r="H186" s="2">
        <v>42.372820000000004</v>
      </c>
      <c r="I186" s="28"/>
      <c r="J186" s="38"/>
      <c r="L186" s="31"/>
      <c r="M186" s="33"/>
      <c r="N186" s="26"/>
      <c r="O186" s="5" t="s">
        <v>8</v>
      </c>
      <c r="P186" s="2">
        <v>174.78700000000001</v>
      </c>
      <c r="Q186" s="28"/>
      <c r="R186" s="38"/>
      <c r="S186" s="1">
        <v>27.981819999999999</v>
      </c>
      <c r="T186" s="31"/>
      <c r="U186" s="41"/>
    </row>
    <row r="187" spans="1:21" ht="16" x14ac:dyDescent="0.2">
      <c r="A187" s="31"/>
      <c r="B187" s="26"/>
      <c r="C187" s="26"/>
      <c r="D187" s="4" t="s">
        <v>9</v>
      </c>
      <c r="E187" s="2">
        <v>113.22742</v>
      </c>
      <c r="F187" s="28"/>
      <c r="G187" s="38"/>
      <c r="H187" s="2">
        <v>35.361799999999995</v>
      </c>
      <c r="I187" s="28"/>
      <c r="J187" s="38"/>
      <c r="L187" s="31"/>
      <c r="M187" s="33"/>
      <c r="N187" s="26"/>
      <c r="O187" s="5" t="s">
        <v>9</v>
      </c>
      <c r="P187" s="2">
        <v>90.142620000000008</v>
      </c>
      <c r="Q187" s="28"/>
      <c r="R187" s="38"/>
      <c r="S187" s="1">
        <v>33.070169999999997</v>
      </c>
      <c r="T187" s="31"/>
      <c r="U187" s="41"/>
    </row>
    <row r="188" spans="1:21" ht="16" x14ac:dyDescent="0.2">
      <c r="A188" s="31"/>
      <c r="B188" s="26"/>
      <c r="C188" s="26"/>
      <c r="D188" s="4" t="s">
        <v>10</v>
      </c>
      <c r="E188" s="2">
        <v>108.01167</v>
      </c>
      <c r="F188" s="28"/>
      <c r="G188" s="38"/>
      <c r="H188" s="2">
        <v>35.501689999999996</v>
      </c>
      <c r="I188" s="28"/>
      <c r="J188" s="38"/>
      <c r="L188" s="31"/>
      <c r="M188" s="33"/>
      <c r="N188" s="26"/>
      <c r="O188" s="5" t="s">
        <v>10</v>
      </c>
      <c r="P188" s="2">
        <v>158.34987999999998</v>
      </c>
      <c r="Q188" s="28"/>
      <c r="R188" s="38"/>
      <c r="S188" s="1">
        <v>26.108870000000003</v>
      </c>
      <c r="T188" s="31"/>
      <c r="U188" s="41"/>
    </row>
    <row r="189" spans="1:21" ht="16" x14ac:dyDescent="0.2">
      <c r="A189" s="31"/>
      <c r="B189" s="26"/>
      <c r="C189" s="26"/>
      <c r="D189" s="4" t="s">
        <v>11</v>
      </c>
      <c r="E189" s="2">
        <v>71.763909999999996</v>
      </c>
      <c r="F189" s="29"/>
      <c r="G189" s="38"/>
      <c r="H189" s="2">
        <v>35.254860000000001</v>
      </c>
      <c r="I189" s="29"/>
      <c r="J189" s="38"/>
      <c r="L189" s="31"/>
      <c r="M189" s="33"/>
      <c r="N189" s="26"/>
      <c r="O189" s="5" t="s">
        <v>11</v>
      </c>
      <c r="P189" s="2">
        <v>126.46615</v>
      </c>
      <c r="Q189" s="29"/>
      <c r="R189" s="38"/>
      <c r="S189" s="1">
        <v>34.738610000000001</v>
      </c>
      <c r="T189" s="32"/>
      <c r="U189" s="41"/>
    </row>
    <row r="190" spans="1:21" ht="16" x14ac:dyDescent="0.2">
      <c r="A190" s="31"/>
      <c r="B190" s="26"/>
      <c r="C190" s="26">
        <v>3</v>
      </c>
      <c r="D190" s="4" t="s">
        <v>7</v>
      </c>
      <c r="E190" s="2">
        <v>79.220039999999997</v>
      </c>
      <c r="F190" s="27">
        <f t="shared" ref="F190" si="163">AVERAGE(E190:E194)</f>
        <v>95.634705999999994</v>
      </c>
      <c r="G190" s="38"/>
      <c r="H190" s="2">
        <v>39.029699999999998</v>
      </c>
      <c r="I190" s="27">
        <f t="shared" ref="I190" si="164">AVERAGE(H190:H194)</f>
        <v>38.678742000000007</v>
      </c>
      <c r="J190" s="38"/>
      <c r="L190" s="31"/>
      <c r="M190" s="33"/>
      <c r="N190" s="26">
        <v>3</v>
      </c>
      <c r="O190" s="5" t="s">
        <v>7</v>
      </c>
      <c r="P190" s="2">
        <v>81.019369999999995</v>
      </c>
      <c r="Q190" s="27">
        <f t="shared" ref="Q190" si="165">AVERAGE(P190:P194)</f>
        <v>124.578362</v>
      </c>
      <c r="R190" s="38"/>
      <c r="S190" s="1">
        <v>37.380050000000004</v>
      </c>
      <c r="T190" s="30">
        <f t="shared" ref="T190" si="166">AVERAGE(S190:S194)</f>
        <v>30.432468</v>
      </c>
      <c r="U190" s="41"/>
    </row>
    <row r="191" spans="1:21" ht="16" x14ac:dyDescent="0.2">
      <c r="A191" s="31"/>
      <c r="B191" s="26"/>
      <c r="C191" s="26"/>
      <c r="D191" s="4" t="s">
        <v>8</v>
      </c>
      <c r="E191" s="2">
        <v>108.74126</v>
      </c>
      <c r="F191" s="28"/>
      <c r="G191" s="38"/>
      <c r="H191" s="2">
        <v>34.706980000000001</v>
      </c>
      <c r="I191" s="28"/>
      <c r="J191" s="38"/>
      <c r="L191" s="31"/>
      <c r="M191" s="33"/>
      <c r="N191" s="26"/>
      <c r="O191" s="5" t="s">
        <v>8</v>
      </c>
      <c r="P191" s="2">
        <v>133.93012000000002</v>
      </c>
      <c r="Q191" s="28"/>
      <c r="R191" s="38"/>
      <c r="S191" s="1">
        <v>24.350169999999999</v>
      </c>
      <c r="T191" s="31"/>
      <c r="U191" s="41"/>
    </row>
    <row r="192" spans="1:21" ht="16" x14ac:dyDescent="0.2">
      <c r="A192" s="31"/>
      <c r="B192" s="26"/>
      <c r="C192" s="26"/>
      <c r="D192" s="4" t="s">
        <v>9</v>
      </c>
      <c r="E192" s="2">
        <v>97.413520000000005</v>
      </c>
      <c r="F192" s="28"/>
      <c r="G192" s="38"/>
      <c r="H192" s="2">
        <v>39.82855</v>
      </c>
      <c r="I192" s="28"/>
      <c r="J192" s="38"/>
      <c r="L192" s="31"/>
      <c r="M192" s="33"/>
      <c r="N192" s="26"/>
      <c r="O192" s="5" t="s">
        <v>9</v>
      </c>
      <c r="P192" s="2">
        <v>144.07640000000001</v>
      </c>
      <c r="Q192" s="28"/>
      <c r="R192" s="38"/>
      <c r="S192" s="1">
        <v>26.47335</v>
      </c>
      <c r="T192" s="31"/>
      <c r="U192" s="41"/>
    </row>
    <row r="193" spans="1:21" ht="16" x14ac:dyDescent="0.2">
      <c r="A193" s="31"/>
      <c r="B193" s="26"/>
      <c r="C193" s="26"/>
      <c r="D193" s="4" t="s">
        <v>10</v>
      </c>
      <c r="E193" s="2">
        <v>85.307639999999992</v>
      </c>
      <c r="F193" s="28"/>
      <c r="G193" s="38"/>
      <c r="H193" s="2">
        <v>35.082840000000004</v>
      </c>
      <c r="I193" s="28"/>
      <c r="J193" s="38"/>
      <c r="L193" s="31"/>
      <c r="M193" s="33"/>
      <c r="N193" s="26"/>
      <c r="O193" s="5" t="s">
        <v>10</v>
      </c>
      <c r="P193" s="2">
        <v>123.89806</v>
      </c>
      <c r="Q193" s="28"/>
      <c r="R193" s="38"/>
      <c r="S193" s="1">
        <v>37.815019999999997</v>
      </c>
      <c r="T193" s="31"/>
      <c r="U193" s="41"/>
    </row>
    <row r="194" spans="1:21" ht="16" x14ac:dyDescent="0.2">
      <c r="A194" s="31"/>
      <c r="B194" s="26"/>
      <c r="C194" s="26"/>
      <c r="D194" s="4" t="s">
        <v>11</v>
      </c>
      <c r="E194" s="2">
        <v>107.49106999999999</v>
      </c>
      <c r="F194" s="29"/>
      <c r="G194" s="38"/>
      <c r="H194" s="2">
        <v>44.745640000000002</v>
      </c>
      <c r="I194" s="29"/>
      <c r="J194" s="38"/>
      <c r="L194" s="31"/>
      <c r="M194" s="33"/>
      <c r="N194" s="26"/>
      <c r="O194" s="5" t="s">
        <v>11</v>
      </c>
      <c r="P194" s="2">
        <v>139.96786</v>
      </c>
      <c r="Q194" s="29"/>
      <c r="R194" s="38"/>
      <c r="S194" s="1">
        <v>26.143750000000001</v>
      </c>
      <c r="T194" s="32"/>
      <c r="U194" s="41"/>
    </row>
    <row r="195" spans="1:21" ht="16" x14ac:dyDescent="0.2">
      <c r="A195" s="31"/>
      <c r="B195" s="26"/>
      <c r="C195" s="26">
        <v>4</v>
      </c>
      <c r="D195" s="4" t="s">
        <v>7</v>
      </c>
      <c r="E195" s="2">
        <v>103.61421</v>
      </c>
      <c r="F195" s="27">
        <f t="shared" ref="F195" si="167">AVERAGE(E195:E199)</f>
        <v>89.668244000000001</v>
      </c>
      <c r="G195" s="38"/>
      <c r="H195" s="2">
        <v>35.996569999999998</v>
      </c>
      <c r="I195" s="27">
        <f t="shared" ref="I195" si="168">AVERAGE(H195:H199)</f>
        <v>38.495614000000003</v>
      </c>
      <c r="J195" s="38"/>
      <c r="L195" s="31"/>
      <c r="M195" s="33"/>
      <c r="N195" s="26">
        <v>4</v>
      </c>
      <c r="O195" s="5" t="s">
        <v>7</v>
      </c>
      <c r="P195" s="2">
        <v>114.22877</v>
      </c>
      <c r="Q195" s="27">
        <f t="shared" ref="Q195" si="169">AVERAGE(P195:P199)</f>
        <v>140.382518</v>
      </c>
      <c r="R195" s="38"/>
      <c r="S195" s="1">
        <v>24.211770000000001</v>
      </c>
      <c r="T195" s="30">
        <f t="shared" ref="T195" si="170">AVERAGE(S195:S199)</f>
        <v>31.166024</v>
      </c>
      <c r="U195" s="41"/>
    </row>
    <row r="196" spans="1:21" ht="16" x14ac:dyDescent="0.2">
      <c r="A196" s="31"/>
      <c r="B196" s="26"/>
      <c r="C196" s="26"/>
      <c r="D196" s="4" t="s">
        <v>8</v>
      </c>
      <c r="E196" s="2">
        <v>87.333950000000002</v>
      </c>
      <c r="F196" s="28"/>
      <c r="G196" s="38"/>
      <c r="H196" s="2">
        <v>41.694250000000004</v>
      </c>
      <c r="I196" s="28"/>
      <c r="J196" s="38"/>
      <c r="L196" s="31"/>
      <c r="M196" s="33"/>
      <c r="N196" s="26"/>
      <c r="O196" s="5" t="s">
        <v>8</v>
      </c>
      <c r="P196" s="2">
        <v>217.90166000000002</v>
      </c>
      <c r="Q196" s="28"/>
      <c r="R196" s="38"/>
      <c r="S196" s="1">
        <v>30.810580000000002</v>
      </c>
      <c r="T196" s="31"/>
      <c r="U196" s="41"/>
    </row>
    <row r="197" spans="1:21" ht="16" x14ac:dyDescent="0.2">
      <c r="A197" s="31"/>
      <c r="B197" s="26"/>
      <c r="C197" s="26"/>
      <c r="D197" s="4" t="s">
        <v>9</v>
      </c>
      <c r="E197" s="2">
        <v>76.242130000000003</v>
      </c>
      <c r="F197" s="28"/>
      <c r="G197" s="38"/>
      <c r="H197" s="2">
        <v>37.451700000000002</v>
      </c>
      <c r="I197" s="28"/>
      <c r="J197" s="38"/>
      <c r="L197" s="31"/>
      <c r="M197" s="33"/>
      <c r="N197" s="26"/>
      <c r="O197" s="5" t="s">
        <v>9</v>
      </c>
      <c r="P197" s="2">
        <v>105.77334</v>
      </c>
      <c r="Q197" s="28"/>
      <c r="R197" s="38"/>
      <c r="S197" s="1">
        <v>31.52927</v>
      </c>
      <c r="T197" s="31"/>
      <c r="U197" s="41"/>
    </row>
    <row r="198" spans="1:21" ht="16" x14ac:dyDescent="0.2">
      <c r="A198" s="31"/>
      <c r="B198" s="26"/>
      <c r="C198" s="26"/>
      <c r="D198" s="4" t="s">
        <v>10</v>
      </c>
      <c r="E198" s="2">
        <v>77.772559999999999</v>
      </c>
      <c r="F198" s="28"/>
      <c r="G198" s="38"/>
      <c r="H198" s="2">
        <v>36.525259999999996</v>
      </c>
      <c r="I198" s="28"/>
      <c r="J198" s="38"/>
      <c r="L198" s="31"/>
      <c r="M198" s="33"/>
      <c r="N198" s="26"/>
      <c r="O198" s="5" t="s">
        <v>10</v>
      </c>
      <c r="P198" s="2">
        <v>158.63783999999998</v>
      </c>
      <c r="Q198" s="28"/>
      <c r="R198" s="38"/>
      <c r="S198" s="1">
        <v>39.435220000000001</v>
      </c>
      <c r="T198" s="31"/>
      <c r="U198" s="41"/>
    </row>
    <row r="199" spans="1:21" ht="16" x14ac:dyDescent="0.2">
      <c r="A199" s="31"/>
      <c r="B199" s="26"/>
      <c r="C199" s="26"/>
      <c r="D199" s="4" t="s">
        <v>11</v>
      </c>
      <c r="E199" s="2">
        <v>103.37836999999999</v>
      </c>
      <c r="F199" s="29"/>
      <c r="G199" s="38"/>
      <c r="H199" s="2">
        <v>40.810290000000002</v>
      </c>
      <c r="I199" s="29"/>
      <c r="J199" s="38"/>
      <c r="L199" s="31"/>
      <c r="M199" s="33"/>
      <c r="N199" s="26"/>
      <c r="O199" s="5" t="s">
        <v>11</v>
      </c>
      <c r="P199" s="2">
        <v>105.37098</v>
      </c>
      <c r="Q199" s="29"/>
      <c r="R199" s="38"/>
      <c r="S199" s="1">
        <v>29.84328</v>
      </c>
      <c r="T199" s="32"/>
      <c r="U199" s="41"/>
    </row>
    <row r="200" spans="1:21" ht="16" x14ac:dyDescent="0.2">
      <c r="A200" s="31"/>
      <c r="B200" s="26"/>
      <c r="C200" s="26">
        <v>5</v>
      </c>
      <c r="D200" s="4" t="s">
        <v>7</v>
      </c>
      <c r="E200" s="2">
        <v>107.42035</v>
      </c>
      <c r="F200" s="27">
        <f t="shared" ref="F200" si="171">AVERAGE(E200:E204)</f>
        <v>93.936238000000003</v>
      </c>
      <c r="G200" s="38"/>
      <c r="H200" s="2">
        <v>41.163190000000007</v>
      </c>
      <c r="I200" s="27">
        <f t="shared" ref="I200" si="172">AVERAGE(H200:H204)</f>
        <v>40.041677999999997</v>
      </c>
      <c r="J200" s="38"/>
      <c r="L200" s="31"/>
      <c r="M200" s="33"/>
      <c r="N200" s="26">
        <v>5</v>
      </c>
      <c r="O200" s="5" t="s">
        <v>7</v>
      </c>
      <c r="P200" s="2">
        <v>71.645789999999991</v>
      </c>
      <c r="Q200" s="27">
        <f t="shared" ref="Q200" si="173">AVERAGE(P200:P204)</f>
        <v>114.278288</v>
      </c>
      <c r="R200" s="38"/>
      <c r="S200" s="1">
        <v>23.423259999999999</v>
      </c>
      <c r="T200" s="30">
        <f t="shared" ref="T200" si="174">AVERAGE(S200:S204)</f>
        <v>28.064545999999996</v>
      </c>
      <c r="U200" s="41"/>
    </row>
    <row r="201" spans="1:21" ht="16" x14ac:dyDescent="0.2">
      <c r="A201" s="31"/>
      <c r="B201" s="26"/>
      <c r="C201" s="26"/>
      <c r="D201" s="4" t="s">
        <v>8</v>
      </c>
      <c r="E201" s="2">
        <v>83.203520000000012</v>
      </c>
      <c r="F201" s="28"/>
      <c r="G201" s="38"/>
      <c r="H201" s="2">
        <v>42.031719999999993</v>
      </c>
      <c r="I201" s="28"/>
      <c r="J201" s="38"/>
      <c r="L201" s="31"/>
      <c r="M201" s="33"/>
      <c r="N201" s="26"/>
      <c r="O201" s="5" t="s">
        <v>8</v>
      </c>
      <c r="P201" s="2">
        <v>174.78700000000001</v>
      </c>
      <c r="Q201" s="28"/>
      <c r="R201" s="38"/>
      <c r="S201" s="1">
        <v>22.981819999999999</v>
      </c>
      <c r="T201" s="31"/>
      <c r="U201" s="41"/>
    </row>
    <row r="202" spans="1:21" ht="16" x14ac:dyDescent="0.2">
      <c r="A202" s="31"/>
      <c r="B202" s="26"/>
      <c r="C202" s="26"/>
      <c r="D202" s="4" t="s">
        <v>9</v>
      </c>
      <c r="E202" s="2">
        <v>77.791440000000009</v>
      </c>
      <c r="F202" s="28"/>
      <c r="G202" s="38"/>
      <c r="H202" s="2">
        <v>38.693339999999999</v>
      </c>
      <c r="I202" s="28"/>
      <c r="J202" s="38"/>
      <c r="L202" s="31"/>
      <c r="M202" s="33"/>
      <c r="N202" s="26"/>
      <c r="O202" s="5" t="s">
        <v>9</v>
      </c>
      <c r="P202" s="2">
        <v>120.14262000000001</v>
      </c>
      <c r="Q202" s="28"/>
      <c r="R202" s="38"/>
      <c r="S202" s="1">
        <v>33.070169999999997</v>
      </c>
      <c r="T202" s="31"/>
      <c r="U202" s="41"/>
    </row>
    <row r="203" spans="1:21" ht="16" x14ac:dyDescent="0.2">
      <c r="A203" s="31"/>
      <c r="B203" s="26"/>
      <c r="C203" s="26"/>
      <c r="D203" s="4" t="s">
        <v>10</v>
      </c>
      <c r="E203" s="2">
        <v>107.67145000000001</v>
      </c>
      <c r="F203" s="28"/>
      <c r="G203" s="38"/>
      <c r="H203" s="2">
        <v>38.823909999999998</v>
      </c>
      <c r="I203" s="28"/>
      <c r="J203" s="38"/>
      <c r="L203" s="31"/>
      <c r="M203" s="33"/>
      <c r="N203" s="26"/>
      <c r="O203" s="5" t="s">
        <v>10</v>
      </c>
      <c r="P203" s="2">
        <v>108.34988</v>
      </c>
      <c r="Q203" s="28"/>
      <c r="R203" s="38"/>
      <c r="S203" s="1">
        <v>36.108870000000003</v>
      </c>
      <c r="T203" s="31"/>
      <c r="U203" s="41"/>
    </row>
    <row r="204" spans="1:21" ht="16" x14ac:dyDescent="0.2">
      <c r="A204" s="31"/>
      <c r="B204" s="26"/>
      <c r="C204" s="26"/>
      <c r="D204" s="4" t="s">
        <v>11</v>
      </c>
      <c r="E204" s="2">
        <v>93.594429999999988</v>
      </c>
      <c r="F204" s="29"/>
      <c r="G204" s="39"/>
      <c r="H204" s="2">
        <v>39.496229999999997</v>
      </c>
      <c r="I204" s="29"/>
      <c r="J204" s="39"/>
      <c r="L204" s="31"/>
      <c r="M204" s="33"/>
      <c r="N204" s="26"/>
      <c r="O204" s="5" t="s">
        <v>11</v>
      </c>
      <c r="P204" s="2">
        <v>96.466149999999999</v>
      </c>
      <c r="Q204" s="29"/>
      <c r="R204" s="39"/>
      <c r="S204" s="1">
        <v>24.738609999999998</v>
      </c>
      <c r="T204" s="32"/>
      <c r="U204" s="42"/>
    </row>
    <row r="205" spans="1:21" ht="16" x14ac:dyDescent="0.2">
      <c r="A205" s="31"/>
      <c r="B205" s="26">
        <v>3</v>
      </c>
      <c r="C205" s="26">
        <v>1</v>
      </c>
      <c r="D205" s="4" t="s">
        <v>7</v>
      </c>
      <c r="E205" s="2">
        <v>105.35075999999999</v>
      </c>
      <c r="F205" s="27">
        <f t="shared" ref="F205" si="175">AVERAGE(E205:E209)</f>
        <v>94.947018</v>
      </c>
      <c r="G205" s="37">
        <f>AVERAGE(F205:F229)</f>
        <v>88.651615599999985</v>
      </c>
      <c r="H205" s="2">
        <v>36.039340000000003</v>
      </c>
      <c r="I205" s="27">
        <f t="shared" ref="I205" si="176">AVERAGE(H205:H209)</f>
        <v>38.24948400000001</v>
      </c>
      <c r="J205" s="37">
        <f t="shared" ref="J205" si="177">AVERAGE(I205:I229)</f>
        <v>38.874214799999997</v>
      </c>
      <c r="L205" s="31"/>
      <c r="M205" s="33">
        <v>3</v>
      </c>
      <c r="N205" s="26">
        <v>1</v>
      </c>
      <c r="O205" s="5" t="s">
        <v>7</v>
      </c>
      <c r="P205" s="2">
        <v>112.94174000000001</v>
      </c>
      <c r="Q205" s="27">
        <f t="shared" ref="Q205" si="178">AVERAGE(P205:P209)</f>
        <v>123.57757800000002</v>
      </c>
      <c r="R205" s="37">
        <f t="shared" ref="R205" si="179">AVERAGE(Q205:Q229)</f>
        <v>137.74414759999999</v>
      </c>
      <c r="S205" s="1">
        <v>34.317160000000001</v>
      </c>
      <c r="T205" s="30">
        <f t="shared" ref="T205" si="180">AVERAGE(S205:S209)</f>
        <v>29.827074</v>
      </c>
      <c r="U205" s="40">
        <f t="shared" ref="U205" si="181">AVERAGE(T205:T229)</f>
        <v>29.816361199999999</v>
      </c>
    </row>
    <row r="206" spans="1:21" ht="16" x14ac:dyDescent="0.2">
      <c r="A206" s="31"/>
      <c r="B206" s="26"/>
      <c r="C206" s="26"/>
      <c r="D206" s="4" t="s">
        <v>8</v>
      </c>
      <c r="E206" s="2">
        <v>124.756</v>
      </c>
      <c r="F206" s="28"/>
      <c r="G206" s="38"/>
      <c r="H206" s="2">
        <v>41.316800000000001</v>
      </c>
      <c r="I206" s="28"/>
      <c r="J206" s="38"/>
      <c r="L206" s="31"/>
      <c r="M206" s="33"/>
      <c r="N206" s="26"/>
      <c r="O206" s="5" t="s">
        <v>8</v>
      </c>
      <c r="P206" s="2">
        <v>108.11972</v>
      </c>
      <c r="Q206" s="28"/>
      <c r="R206" s="38"/>
      <c r="S206" s="1">
        <v>28.484369999999998</v>
      </c>
      <c r="T206" s="31"/>
      <c r="U206" s="41"/>
    </row>
    <row r="207" spans="1:21" ht="16" x14ac:dyDescent="0.2">
      <c r="A207" s="31"/>
      <c r="B207" s="26"/>
      <c r="C207" s="26"/>
      <c r="D207" s="4" t="s">
        <v>9</v>
      </c>
      <c r="E207" s="2">
        <v>81.962739999999997</v>
      </c>
      <c r="F207" s="28"/>
      <c r="G207" s="38"/>
      <c r="H207" s="2">
        <v>36.802750000000003</v>
      </c>
      <c r="I207" s="28"/>
      <c r="J207" s="38"/>
      <c r="L207" s="31"/>
      <c r="M207" s="33"/>
      <c r="N207" s="26"/>
      <c r="O207" s="5" t="s">
        <v>9</v>
      </c>
      <c r="P207" s="2">
        <v>128.66082</v>
      </c>
      <c r="Q207" s="28"/>
      <c r="R207" s="38"/>
      <c r="S207" s="1">
        <v>32.814349999999997</v>
      </c>
      <c r="T207" s="31"/>
      <c r="U207" s="41"/>
    </row>
    <row r="208" spans="1:21" ht="16" x14ac:dyDescent="0.2">
      <c r="A208" s="31"/>
      <c r="B208" s="26"/>
      <c r="C208" s="26"/>
      <c r="D208" s="4" t="s">
        <v>10</v>
      </c>
      <c r="E208" s="2">
        <v>81.359189999999998</v>
      </c>
      <c r="F208" s="28"/>
      <c r="G208" s="38"/>
      <c r="H208" s="2">
        <v>41.603879999999997</v>
      </c>
      <c r="I208" s="28"/>
      <c r="J208" s="38"/>
      <c r="L208" s="31"/>
      <c r="M208" s="33"/>
      <c r="N208" s="26"/>
      <c r="O208" s="5" t="s">
        <v>10</v>
      </c>
      <c r="P208" s="2">
        <v>149.46138000000002</v>
      </c>
      <c r="Q208" s="28"/>
      <c r="R208" s="38"/>
      <c r="S208" s="1">
        <v>26.508589999999998</v>
      </c>
      <c r="T208" s="31"/>
      <c r="U208" s="41"/>
    </row>
    <row r="209" spans="1:21" ht="16" x14ac:dyDescent="0.2">
      <c r="A209" s="31"/>
      <c r="B209" s="26"/>
      <c r="C209" s="26"/>
      <c r="D209" s="4" t="s">
        <v>11</v>
      </c>
      <c r="E209" s="2">
        <v>81.306399999999996</v>
      </c>
      <c r="F209" s="29"/>
      <c r="G209" s="38"/>
      <c r="H209" s="2">
        <v>35.484650000000002</v>
      </c>
      <c r="I209" s="29"/>
      <c r="J209" s="38"/>
      <c r="L209" s="31"/>
      <c r="M209" s="33"/>
      <c r="N209" s="26"/>
      <c r="O209" s="5" t="s">
        <v>11</v>
      </c>
      <c r="P209" s="2">
        <v>118.70423000000001</v>
      </c>
      <c r="Q209" s="29"/>
      <c r="R209" s="38"/>
      <c r="S209" s="1">
        <v>27.010900000000003</v>
      </c>
      <c r="T209" s="32"/>
      <c r="U209" s="41"/>
    </row>
    <row r="210" spans="1:21" ht="16" x14ac:dyDescent="0.2">
      <c r="A210" s="31"/>
      <c r="B210" s="26"/>
      <c r="C210" s="26">
        <v>2</v>
      </c>
      <c r="D210" s="4" t="s">
        <v>7</v>
      </c>
      <c r="E210" s="2">
        <v>93.777760000000001</v>
      </c>
      <c r="F210" s="27">
        <f t="shared" ref="F210" si="182">AVERAGE(E210:E214)</f>
        <v>86.25952599999998</v>
      </c>
      <c r="G210" s="38"/>
      <c r="H210" s="2">
        <v>42.846589999999999</v>
      </c>
      <c r="I210" s="27">
        <f t="shared" ref="I210" si="183">AVERAGE(H210:H214)</f>
        <v>38.846718000000003</v>
      </c>
      <c r="J210" s="38"/>
      <c r="L210" s="31"/>
      <c r="M210" s="33"/>
      <c r="N210" s="26">
        <v>2</v>
      </c>
      <c r="O210" s="5" t="s">
        <v>7</v>
      </c>
      <c r="P210" s="2">
        <v>169.59704000000002</v>
      </c>
      <c r="Q210" s="27">
        <f t="shared" ref="Q210" si="184">AVERAGE(P210:P214)</f>
        <v>149.76514400000002</v>
      </c>
      <c r="R210" s="38"/>
      <c r="S210" s="1">
        <v>28.360869999999998</v>
      </c>
      <c r="T210" s="30">
        <f t="shared" ref="T210" si="185">AVERAGE(S210:S214)</f>
        <v>30.706667999999997</v>
      </c>
      <c r="U210" s="41"/>
    </row>
    <row r="211" spans="1:21" ht="16" x14ac:dyDescent="0.2">
      <c r="A211" s="31"/>
      <c r="B211" s="26"/>
      <c r="C211" s="26"/>
      <c r="D211" s="4" t="s">
        <v>8</v>
      </c>
      <c r="E211" s="2">
        <v>94.367170000000002</v>
      </c>
      <c r="F211" s="28"/>
      <c r="G211" s="38"/>
      <c r="H211" s="2">
        <v>35.934229999999999</v>
      </c>
      <c r="I211" s="28"/>
      <c r="J211" s="38"/>
      <c r="L211" s="31"/>
      <c r="M211" s="33"/>
      <c r="N211" s="26"/>
      <c r="O211" s="5" t="s">
        <v>8</v>
      </c>
      <c r="P211" s="2">
        <v>119.53456</v>
      </c>
      <c r="Q211" s="28"/>
      <c r="R211" s="38"/>
      <c r="S211" s="1">
        <v>30.544619999999998</v>
      </c>
      <c r="T211" s="31"/>
      <c r="U211" s="41"/>
    </row>
    <row r="212" spans="1:21" ht="16" x14ac:dyDescent="0.2">
      <c r="A212" s="31"/>
      <c r="B212" s="26"/>
      <c r="C212" s="26"/>
      <c r="D212" s="4" t="s">
        <v>9</v>
      </c>
      <c r="E212" s="2">
        <v>71.971729999999994</v>
      </c>
      <c r="F212" s="28"/>
      <c r="G212" s="38"/>
      <c r="H212" s="2">
        <v>40.312240000000003</v>
      </c>
      <c r="I212" s="28"/>
      <c r="J212" s="38"/>
      <c r="L212" s="31"/>
      <c r="M212" s="33"/>
      <c r="N212" s="26"/>
      <c r="O212" s="5" t="s">
        <v>9</v>
      </c>
      <c r="P212" s="2">
        <v>154.06356</v>
      </c>
      <c r="Q212" s="28"/>
      <c r="R212" s="38"/>
      <c r="S212" s="1">
        <v>32.820839999999997</v>
      </c>
      <c r="T212" s="31"/>
      <c r="U212" s="41"/>
    </row>
    <row r="213" spans="1:21" ht="16" x14ac:dyDescent="0.2">
      <c r="A213" s="31"/>
      <c r="B213" s="26"/>
      <c r="C213" s="26"/>
      <c r="D213" s="4" t="s">
        <v>10</v>
      </c>
      <c r="E213" s="2">
        <v>96.632869999999997</v>
      </c>
      <c r="F213" s="28"/>
      <c r="G213" s="38"/>
      <c r="H213" s="2">
        <v>37.643279999999997</v>
      </c>
      <c r="I213" s="28"/>
      <c r="J213" s="38"/>
      <c r="L213" s="31"/>
      <c r="M213" s="33"/>
      <c r="N213" s="26"/>
      <c r="O213" s="5" t="s">
        <v>10</v>
      </c>
      <c r="P213" s="2">
        <v>172.97333999999998</v>
      </c>
      <c r="Q213" s="28"/>
      <c r="R213" s="38"/>
      <c r="S213" s="1">
        <v>32.539639999999999</v>
      </c>
      <c r="T213" s="31"/>
      <c r="U213" s="41"/>
    </row>
    <row r="214" spans="1:21" ht="16" x14ac:dyDescent="0.2">
      <c r="A214" s="31"/>
      <c r="B214" s="26"/>
      <c r="C214" s="26"/>
      <c r="D214" s="4" t="s">
        <v>11</v>
      </c>
      <c r="E214" s="2">
        <v>74.548100000000005</v>
      </c>
      <c r="F214" s="29"/>
      <c r="G214" s="38"/>
      <c r="H214" s="2">
        <v>37.497250000000001</v>
      </c>
      <c r="I214" s="29"/>
      <c r="J214" s="38"/>
      <c r="L214" s="31"/>
      <c r="M214" s="33"/>
      <c r="N214" s="26"/>
      <c r="O214" s="5" t="s">
        <v>11</v>
      </c>
      <c r="P214" s="2">
        <v>132.65722</v>
      </c>
      <c r="Q214" s="29"/>
      <c r="R214" s="38"/>
      <c r="S214" s="1">
        <v>29.26737</v>
      </c>
      <c r="T214" s="32"/>
      <c r="U214" s="41"/>
    </row>
    <row r="215" spans="1:21" ht="16" x14ac:dyDescent="0.2">
      <c r="A215" s="31"/>
      <c r="B215" s="26"/>
      <c r="C215" s="26">
        <v>3</v>
      </c>
      <c r="D215" s="4" t="s">
        <v>7</v>
      </c>
      <c r="E215" s="2">
        <v>133.21030000000002</v>
      </c>
      <c r="F215" s="27">
        <f t="shared" ref="F215" si="186">AVERAGE(E215:E219)</f>
        <v>84.943224000000001</v>
      </c>
      <c r="G215" s="38"/>
      <c r="H215" s="2">
        <v>40.109819999999999</v>
      </c>
      <c r="I215" s="27">
        <f t="shared" ref="I215" si="187">AVERAGE(H215:H219)</f>
        <v>38.986081999999996</v>
      </c>
      <c r="J215" s="38"/>
      <c r="L215" s="31"/>
      <c r="M215" s="33"/>
      <c r="N215" s="26">
        <v>3</v>
      </c>
      <c r="O215" s="5" t="s">
        <v>7</v>
      </c>
      <c r="P215" s="2">
        <v>161.80123</v>
      </c>
      <c r="Q215" s="27">
        <f t="shared" ref="Q215" si="188">AVERAGE(P215:P219)</f>
        <v>138.101788</v>
      </c>
      <c r="R215" s="38"/>
      <c r="S215" s="1">
        <v>28.457330000000002</v>
      </c>
      <c r="T215" s="30">
        <f t="shared" ref="T215" si="189">AVERAGE(S215:S219)</f>
        <v>29.226426000000004</v>
      </c>
      <c r="U215" s="41"/>
    </row>
    <row r="216" spans="1:21" ht="16" x14ac:dyDescent="0.2">
      <c r="A216" s="31"/>
      <c r="B216" s="26"/>
      <c r="C216" s="26"/>
      <c r="D216" s="4" t="s">
        <v>8</v>
      </c>
      <c r="E216" s="2">
        <v>36.350430000000003</v>
      </c>
      <c r="F216" s="28"/>
      <c r="G216" s="38"/>
      <c r="H216" s="2">
        <v>43.539189999999998</v>
      </c>
      <c r="I216" s="28"/>
      <c r="J216" s="38"/>
      <c r="L216" s="31"/>
      <c r="M216" s="33"/>
      <c r="N216" s="26"/>
      <c r="O216" s="5" t="s">
        <v>8</v>
      </c>
      <c r="P216" s="2">
        <v>105.29109</v>
      </c>
      <c r="Q216" s="28"/>
      <c r="R216" s="38"/>
      <c r="S216" s="1">
        <v>24.029170000000001</v>
      </c>
      <c r="T216" s="31"/>
      <c r="U216" s="41"/>
    </row>
    <row r="217" spans="1:21" ht="16" x14ac:dyDescent="0.2">
      <c r="A217" s="31"/>
      <c r="B217" s="26"/>
      <c r="C217" s="26"/>
      <c r="D217" s="4" t="s">
        <v>9</v>
      </c>
      <c r="E217" s="2">
        <v>114.27122</v>
      </c>
      <c r="F217" s="28"/>
      <c r="G217" s="38"/>
      <c r="H217" s="2">
        <v>36.529710000000001</v>
      </c>
      <c r="I217" s="28"/>
      <c r="J217" s="38"/>
      <c r="L217" s="31"/>
      <c r="M217" s="33"/>
      <c r="N217" s="26"/>
      <c r="O217" s="5" t="s">
        <v>9</v>
      </c>
      <c r="P217" s="2">
        <v>154.11653000000001</v>
      </c>
      <c r="Q217" s="28"/>
      <c r="R217" s="38"/>
      <c r="S217" s="1">
        <v>29.181010000000001</v>
      </c>
      <c r="T217" s="31"/>
      <c r="U217" s="41"/>
    </row>
    <row r="218" spans="1:21" ht="16" x14ac:dyDescent="0.2">
      <c r="A218" s="31"/>
      <c r="B218" s="26"/>
      <c r="C218" s="26"/>
      <c r="D218" s="4" t="s">
        <v>10</v>
      </c>
      <c r="E218" s="2">
        <v>86.822000000000003</v>
      </c>
      <c r="F218" s="28"/>
      <c r="G218" s="38"/>
      <c r="H218" s="2">
        <v>33.244720000000001</v>
      </c>
      <c r="I218" s="28"/>
      <c r="J218" s="38"/>
      <c r="L218" s="31"/>
      <c r="M218" s="33"/>
      <c r="N218" s="26"/>
      <c r="O218" s="5" t="s">
        <v>10</v>
      </c>
      <c r="P218" s="2">
        <v>103.63385</v>
      </c>
      <c r="Q218" s="28"/>
      <c r="R218" s="38"/>
      <c r="S218" s="1">
        <v>31.560379999999999</v>
      </c>
      <c r="T218" s="31"/>
      <c r="U218" s="41"/>
    </row>
    <row r="219" spans="1:21" ht="16" x14ac:dyDescent="0.2">
      <c r="A219" s="31"/>
      <c r="B219" s="26"/>
      <c r="C219" s="26"/>
      <c r="D219" s="4" t="s">
        <v>11</v>
      </c>
      <c r="E219" s="2">
        <v>54.062169999999995</v>
      </c>
      <c r="F219" s="29"/>
      <c r="G219" s="38"/>
      <c r="H219" s="2">
        <v>41.506970000000003</v>
      </c>
      <c r="I219" s="29"/>
      <c r="J219" s="38"/>
      <c r="L219" s="31"/>
      <c r="M219" s="33"/>
      <c r="N219" s="26"/>
      <c r="O219" s="5" t="s">
        <v>11</v>
      </c>
      <c r="P219" s="2">
        <v>165.66623999999999</v>
      </c>
      <c r="Q219" s="29"/>
      <c r="R219" s="38"/>
      <c r="S219" s="1">
        <v>32.904240000000001</v>
      </c>
      <c r="T219" s="32"/>
      <c r="U219" s="41"/>
    </row>
    <row r="220" spans="1:21" ht="16" x14ac:dyDescent="0.2">
      <c r="A220" s="31"/>
      <c r="B220" s="26"/>
      <c r="C220" s="26">
        <v>4</v>
      </c>
      <c r="D220" s="4" t="s">
        <v>7</v>
      </c>
      <c r="E220" s="2">
        <v>17.62771</v>
      </c>
      <c r="F220" s="27">
        <f t="shared" ref="F220" si="190">AVERAGE(E220:E224)</f>
        <v>92.19137600000002</v>
      </c>
      <c r="G220" s="38"/>
      <c r="H220" s="2">
        <v>34.010849999999998</v>
      </c>
      <c r="I220" s="27">
        <f t="shared" ref="I220" si="191">AVERAGE(H220:H224)</f>
        <v>38.99193799999999</v>
      </c>
      <c r="J220" s="38"/>
      <c r="L220" s="31"/>
      <c r="M220" s="33"/>
      <c r="N220" s="26">
        <v>4</v>
      </c>
      <c r="O220" s="5" t="s">
        <v>7</v>
      </c>
      <c r="P220" s="2">
        <v>190.43136999999999</v>
      </c>
      <c r="Q220" s="27">
        <f t="shared" ref="Q220" si="192">AVERAGE(P220:P224)</f>
        <v>140.697866</v>
      </c>
      <c r="R220" s="38"/>
      <c r="S220" s="1">
        <v>41.555889999999998</v>
      </c>
      <c r="T220" s="30">
        <f t="shared" ref="T220" si="193">AVERAGE(S220:S224)</f>
        <v>30.289170000000002</v>
      </c>
      <c r="U220" s="41"/>
    </row>
    <row r="221" spans="1:21" ht="16" x14ac:dyDescent="0.2">
      <c r="A221" s="31"/>
      <c r="B221" s="26"/>
      <c r="C221" s="26"/>
      <c r="D221" s="4" t="s">
        <v>8</v>
      </c>
      <c r="E221" s="2">
        <v>140.53752</v>
      </c>
      <c r="F221" s="28"/>
      <c r="G221" s="38"/>
      <c r="H221" s="2">
        <v>43.246629999999996</v>
      </c>
      <c r="I221" s="28"/>
      <c r="J221" s="38"/>
      <c r="L221" s="31"/>
      <c r="M221" s="33"/>
      <c r="N221" s="26"/>
      <c r="O221" s="5" t="s">
        <v>8</v>
      </c>
      <c r="P221" s="2">
        <v>114.62667999999999</v>
      </c>
      <c r="Q221" s="28"/>
      <c r="R221" s="38"/>
      <c r="S221" s="1">
        <v>27.497810000000001</v>
      </c>
      <c r="T221" s="31"/>
      <c r="U221" s="41"/>
    </row>
    <row r="222" spans="1:21" ht="16" x14ac:dyDescent="0.2">
      <c r="A222" s="31"/>
      <c r="B222" s="26"/>
      <c r="C222" s="26"/>
      <c r="D222" s="4" t="s">
        <v>9</v>
      </c>
      <c r="E222" s="2">
        <v>59.137180000000001</v>
      </c>
      <c r="F222" s="28"/>
      <c r="G222" s="38"/>
      <c r="H222" s="2">
        <v>42.881610000000002</v>
      </c>
      <c r="I222" s="28"/>
      <c r="J222" s="38"/>
      <c r="L222" s="31"/>
      <c r="M222" s="33"/>
      <c r="N222" s="26"/>
      <c r="O222" s="5" t="s">
        <v>9</v>
      </c>
      <c r="P222" s="2">
        <v>160.95913000000002</v>
      </c>
      <c r="Q222" s="28"/>
      <c r="R222" s="38"/>
      <c r="S222" s="1">
        <v>26.453020000000002</v>
      </c>
      <c r="T222" s="31"/>
      <c r="U222" s="41"/>
    </row>
    <row r="223" spans="1:21" ht="16" x14ac:dyDescent="0.2">
      <c r="A223" s="31"/>
      <c r="B223" s="26"/>
      <c r="C223" s="26"/>
      <c r="D223" s="4" t="s">
        <v>10</v>
      </c>
      <c r="E223" s="2">
        <v>77.372510000000005</v>
      </c>
      <c r="F223" s="28"/>
      <c r="G223" s="38"/>
      <c r="H223" s="2">
        <v>33.417090000000002</v>
      </c>
      <c r="I223" s="28"/>
      <c r="J223" s="38"/>
      <c r="L223" s="31"/>
      <c r="M223" s="33"/>
      <c r="N223" s="26"/>
      <c r="O223" s="5" t="s">
        <v>10</v>
      </c>
      <c r="P223" s="2">
        <v>101.63472</v>
      </c>
      <c r="Q223" s="28"/>
      <c r="R223" s="38"/>
      <c r="S223" s="1">
        <v>32.936770000000003</v>
      </c>
      <c r="T223" s="31"/>
      <c r="U223" s="41"/>
    </row>
    <row r="224" spans="1:21" ht="16" x14ac:dyDescent="0.2">
      <c r="A224" s="31"/>
      <c r="B224" s="26"/>
      <c r="C224" s="26"/>
      <c r="D224" s="4" t="s">
        <v>11</v>
      </c>
      <c r="E224" s="2">
        <v>166.28196</v>
      </c>
      <c r="F224" s="29"/>
      <c r="G224" s="38"/>
      <c r="H224" s="2">
        <v>41.403509999999997</v>
      </c>
      <c r="I224" s="29"/>
      <c r="J224" s="38"/>
      <c r="L224" s="31"/>
      <c r="M224" s="33"/>
      <c r="N224" s="26"/>
      <c r="O224" s="5" t="s">
        <v>11</v>
      </c>
      <c r="P224" s="2">
        <v>135.83743000000001</v>
      </c>
      <c r="Q224" s="29"/>
      <c r="R224" s="38"/>
      <c r="S224" s="1">
        <v>23.002359999999999</v>
      </c>
      <c r="T224" s="32"/>
      <c r="U224" s="41"/>
    </row>
    <row r="225" spans="1:21" ht="16" x14ac:dyDescent="0.2">
      <c r="A225" s="31"/>
      <c r="B225" s="26"/>
      <c r="C225" s="26">
        <v>5</v>
      </c>
      <c r="D225" s="4" t="s">
        <v>7</v>
      </c>
      <c r="E225" s="2">
        <v>147.45054999999999</v>
      </c>
      <c r="F225" s="27">
        <f t="shared" ref="F225" si="194">AVERAGE(E225:E229)</f>
        <v>84.916933999999998</v>
      </c>
      <c r="G225" s="38"/>
      <c r="H225" s="2">
        <v>36.157310000000003</v>
      </c>
      <c r="I225" s="27">
        <f t="shared" ref="I225" si="195">AVERAGE(H225:H229)</f>
        <v>39.296852000000001</v>
      </c>
      <c r="J225" s="38"/>
      <c r="L225" s="31"/>
      <c r="M225" s="33"/>
      <c r="N225" s="26">
        <v>5</v>
      </c>
      <c r="O225" s="5" t="s">
        <v>7</v>
      </c>
      <c r="P225" s="2">
        <v>181.01937000000001</v>
      </c>
      <c r="Q225" s="27">
        <f t="shared" ref="Q225" si="196">AVERAGE(P225:P229)</f>
        <v>136.578362</v>
      </c>
      <c r="R225" s="38"/>
      <c r="S225" s="1">
        <v>27.380050000000001</v>
      </c>
      <c r="T225" s="30">
        <f t="shared" ref="T225" si="197">AVERAGE(S225:S229)</f>
        <v>29.032468000000001</v>
      </c>
      <c r="U225" s="41"/>
    </row>
    <row r="226" spans="1:21" ht="16" x14ac:dyDescent="0.2">
      <c r="A226" s="31"/>
      <c r="B226" s="26"/>
      <c r="C226" s="26"/>
      <c r="D226" s="4" t="s">
        <v>8</v>
      </c>
      <c r="E226" s="2">
        <v>79.686109999999999</v>
      </c>
      <c r="F226" s="28"/>
      <c r="G226" s="38"/>
      <c r="H226" s="2">
        <v>40.940349999999995</v>
      </c>
      <c r="I226" s="28"/>
      <c r="J226" s="38"/>
      <c r="L226" s="31"/>
      <c r="M226" s="33"/>
      <c r="N226" s="26"/>
      <c r="O226" s="5" t="s">
        <v>8</v>
      </c>
      <c r="P226" s="2">
        <v>133.93012000000002</v>
      </c>
      <c r="Q226" s="28"/>
      <c r="R226" s="38"/>
      <c r="S226" s="1">
        <v>34.350169999999999</v>
      </c>
      <c r="T226" s="31"/>
      <c r="U226" s="41"/>
    </row>
    <row r="227" spans="1:21" ht="16" x14ac:dyDescent="0.2">
      <c r="A227" s="31"/>
      <c r="B227" s="26"/>
      <c r="C227" s="26"/>
      <c r="D227" s="4" t="s">
        <v>9</v>
      </c>
      <c r="E227" s="2">
        <v>71.008870000000002</v>
      </c>
      <c r="F227" s="28"/>
      <c r="G227" s="38"/>
      <c r="H227" s="2">
        <v>35.142049999999998</v>
      </c>
      <c r="I227" s="28"/>
      <c r="J227" s="38"/>
      <c r="L227" s="31"/>
      <c r="M227" s="33"/>
      <c r="N227" s="26"/>
      <c r="O227" s="5" t="s">
        <v>9</v>
      </c>
      <c r="P227" s="2">
        <v>134.07640000000001</v>
      </c>
      <c r="Q227" s="28"/>
      <c r="R227" s="38"/>
      <c r="S227" s="1">
        <v>29.47335</v>
      </c>
      <c r="T227" s="31"/>
      <c r="U227" s="41"/>
    </row>
    <row r="228" spans="1:21" ht="16" x14ac:dyDescent="0.2">
      <c r="A228" s="31"/>
      <c r="B228" s="26"/>
      <c r="C228" s="26"/>
      <c r="D228" s="4" t="s">
        <v>10</v>
      </c>
      <c r="E228" s="2">
        <v>14.9246</v>
      </c>
      <c r="F228" s="28"/>
      <c r="G228" s="38"/>
      <c r="H228" s="2">
        <v>43.388130000000004</v>
      </c>
      <c r="I228" s="28"/>
      <c r="J228" s="38"/>
      <c r="L228" s="31"/>
      <c r="M228" s="33"/>
      <c r="N228" s="26"/>
      <c r="O228" s="5" t="s">
        <v>10</v>
      </c>
      <c r="P228" s="2">
        <v>133.89806000000002</v>
      </c>
      <c r="Q228" s="28"/>
      <c r="R228" s="38"/>
      <c r="S228" s="1">
        <v>27.815020000000001</v>
      </c>
      <c r="T228" s="31"/>
      <c r="U228" s="41"/>
    </row>
    <row r="229" spans="1:21" ht="16" x14ac:dyDescent="0.2">
      <c r="A229" s="32"/>
      <c r="B229" s="26"/>
      <c r="C229" s="26"/>
      <c r="D229" s="4" t="s">
        <v>11</v>
      </c>
      <c r="E229" s="2">
        <v>111.51454</v>
      </c>
      <c r="F229" s="29"/>
      <c r="G229" s="39"/>
      <c r="H229" s="2">
        <v>40.85642</v>
      </c>
      <c r="I229" s="29"/>
      <c r="J229" s="39"/>
      <c r="L229" s="32"/>
      <c r="M229" s="33"/>
      <c r="N229" s="26"/>
      <c r="O229" s="5" t="s">
        <v>11</v>
      </c>
      <c r="P229" s="2">
        <v>99.967860000000002</v>
      </c>
      <c r="Q229" s="29"/>
      <c r="R229" s="39"/>
      <c r="S229" s="1">
        <v>26.143750000000001</v>
      </c>
      <c r="T229" s="32"/>
      <c r="U229" s="42"/>
    </row>
    <row r="230" spans="1:21" ht="16" x14ac:dyDescent="0.2">
      <c r="A230" s="30" t="s">
        <v>3</v>
      </c>
      <c r="B230" s="33">
        <v>1</v>
      </c>
      <c r="C230" s="26">
        <v>1</v>
      </c>
      <c r="D230" s="4" t="s">
        <v>7</v>
      </c>
      <c r="E230" s="2">
        <v>148.46</v>
      </c>
      <c r="F230" s="27">
        <f t="shared" ref="F230" si="198">AVERAGE(E230:E234)</f>
        <v>92.109020000000015</v>
      </c>
      <c r="G230" s="37">
        <f>AVERAGE(F230:F254)</f>
        <v>95.330621600000001</v>
      </c>
      <c r="H230" s="2">
        <v>37.849050000000005</v>
      </c>
      <c r="I230" s="27">
        <f t="shared" ref="I230" si="199">AVERAGE(H230:H234)</f>
        <v>37.525802000000013</v>
      </c>
      <c r="J230" s="37">
        <f t="shared" ref="J230" si="200">AVERAGE(I230:I254)</f>
        <v>37.809406800000005</v>
      </c>
      <c r="L230" s="30" t="s">
        <v>20</v>
      </c>
      <c r="M230" s="33">
        <v>1</v>
      </c>
      <c r="N230" s="26">
        <v>1</v>
      </c>
      <c r="O230" s="5" t="s">
        <v>7</v>
      </c>
      <c r="P230" s="2">
        <v>69.267309999999995</v>
      </c>
      <c r="Q230" s="27">
        <f t="shared" ref="Q230" si="201">AVERAGE(P230:P234)</f>
        <v>126.772542</v>
      </c>
      <c r="R230" s="37">
        <f t="shared" ref="R230" si="202">AVERAGE(Q230:Q254)</f>
        <v>133.35034199999998</v>
      </c>
      <c r="S230" s="1">
        <v>32.240580000000001</v>
      </c>
      <c r="T230" s="30">
        <f t="shared" ref="T230" si="203">AVERAGE(S230:S234)</f>
        <v>30.528356000000002</v>
      </c>
      <c r="U230" s="40">
        <f t="shared" ref="U230" si="204">AVERAGE(T230:T254)</f>
        <v>30.357188400000002</v>
      </c>
    </row>
    <row r="231" spans="1:21" ht="16" x14ac:dyDescent="0.2">
      <c r="A231" s="31"/>
      <c r="B231" s="33"/>
      <c r="C231" s="26"/>
      <c r="D231" s="4" t="s">
        <v>8</v>
      </c>
      <c r="E231" s="2">
        <v>78.277960000000007</v>
      </c>
      <c r="F231" s="28"/>
      <c r="G231" s="38"/>
      <c r="H231" s="2">
        <v>34.24062</v>
      </c>
      <c r="I231" s="28"/>
      <c r="J231" s="38"/>
      <c r="L231" s="31"/>
      <c r="M231" s="33"/>
      <c r="N231" s="26"/>
      <c r="O231" s="5" t="s">
        <v>8</v>
      </c>
      <c r="P231" s="2">
        <v>161.45231000000001</v>
      </c>
      <c r="Q231" s="28"/>
      <c r="R231" s="38"/>
      <c r="S231" s="1">
        <v>35.578780000000002</v>
      </c>
      <c r="T231" s="31"/>
      <c r="U231" s="41"/>
    </row>
    <row r="232" spans="1:21" ht="16" x14ac:dyDescent="0.2">
      <c r="A232" s="31"/>
      <c r="B232" s="33"/>
      <c r="C232" s="26"/>
      <c r="D232" s="4" t="s">
        <v>9</v>
      </c>
      <c r="E232" s="2">
        <v>23.744630000000001</v>
      </c>
      <c r="F232" s="28"/>
      <c r="G232" s="38"/>
      <c r="H232" s="2">
        <v>38.168010000000002</v>
      </c>
      <c r="I232" s="28"/>
      <c r="J232" s="38"/>
      <c r="L232" s="31"/>
      <c r="M232" s="33"/>
      <c r="N232" s="26"/>
      <c r="O232" s="5" t="s">
        <v>9</v>
      </c>
      <c r="P232" s="2">
        <v>77.891530000000003</v>
      </c>
      <c r="Q232" s="28"/>
      <c r="R232" s="38"/>
      <c r="S232" s="1">
        <v>31.316799999999997</v>
      </c>
      <c r="T232" s="31"/>
      <c r="U232" s="41"/>
    </row>
    <row r="233" spans="1:21" ht="16" x14ac:dyDescent="0.2">
      <c r="A233" s="31"/>
      <c r="B233" s="33"/>
      <c r="C233" s="26"/>
      <c r="D233" s="4" t="s">
        <v>10</v>
      </c>
      <c r="E233" s="2">
        <v>60.539939999999994</v>
      </c>
      <c r="F233" s="28"/>
      <c r="G233" s="38"/>
      <c r="H233" s="2">
        <v>42.051790000000004</v>
      </c>
      <c r="I233" s="28"/>
      <c r="J233" s="38"/>
      <c r="L233" s="31"/>
      <c r="M233" s="33"/>
      <c r="N233" s="26"/>
      <c r="O233" s="5" t="s">
        <v>10</v>
      </c>
      <c r="P233" s="2">
        <v>178.4075</v>
      </c>
      <c r="Q233" s="28"/>
      <c r="R233" s="38"/>
      <c r="S233" s="1">
        <v>25.276250000000001</v>
      </c>
      <c r="T233" s="31"/>
      <c r="U233" s="41"/>
    </row>
    <row r="234" spans="1:21" ht="16" x14ac:dyDescent="0.2">
      <c r="A234" s="31"/>
      <c r="B234" s="33"/>
      <c r="C234" s="26"/>
      <c r="D234" s="4" t="s">
        <v>11</v>
      </c>
      <c r="E234" s="2">
        <v>149.52257</v>
      </c>
      <c r="F234" s="29"/>
      <c r="G234" s="38"/>
      <c r="H234" s="2">
        <v>35.319540000000003</v>
      </c>
      <c r="I234" s="29"/>
      <c r="J234" s="38"/>
      <c r="L234" s="31"/>
      <c r="M234" s="33"/>
      <c r="N234" s="26"/>
      <c r="O234" s="5" t="s">
        <v>11</v>
      </c>
      <c r="P234" s="2">
        <v>146.84406000000001</v>
      </c>
      <c r="Q234" s="29"/>
      <c r="R234" s="38"/>
      <c r="S234" s="1">
        <v>28.229369999999999</v>
      </c>
      <c r="T234" s="32"/>
      <c r="U234" s="41"/>
    </row>
    <row r="235" spans="1:21" ht="16" x14ac:dyDescent="0.2">
      <c r="A235" s="31"/>
      <c r="B235" s="33"/>
      <c r="C235" s="26">
        <v>2</v>
      </c>
      <c r="D235" s="4" t="s">
        <v>7</v>
      </c>
      <c r="E235" s="2">
        <v>136.79059999999998</v>
      </c>
      <c r="F235" s="27">
        <f t="shared" ref="F235" si="205">AVERAGE(E235:E239)</f>
        <v>96.619878</v>
      </c>
      <c r="G235" s="38"/>
      <c r="H235" s="2">
        <v>40.97728</v>
      </c>
      <c r="I235" s="27">
        <f t="shared" ref="I235" si="206">AVERAGE(H235:H239)</f>
        <v>37.997022000000001</v>
      </c>
      <c r="J235" s="38"/>
      <c r="L235" s="31"/>
      <c r="M235" s="33"/>
      <c r="N235" s="26">
        <v>2</v>
      </c>
      <c r="O235" s="5" t="s">
        <v>7</v>
      </c>
      <c r="P235" s="2">
        <v>167.81554</v>
      </c>
      <c r="Q235" s="27">
        <f t="shared" ref="Q235" si="207">AVERAGE(P235:P239)</f>
        <v>129.71679599999999</v>
      </c>
      <c r="R235" s="38"/>
      <c r="S235" s="1">
        <v>29.950569999999999</v>
      </c>
      <c r="T235" s="30">
        <f t="shared" ref="T235" si="208">AVERAGE(S235:S239)</f>
        <v>31.176778000000002</v>
      </c>
      <c r="U235" s="41"/>
    </row>
    <row r="236" spans="1:21" ht="16" x14ac:dyDescent="0.2">
      <c r="A236" s="31"/>
      <c r="B236" s="33"/>
      <c r="C236" s="26"/>
      <c r="D236" s="4" t="s">
        <v>8</v>
      </c>
      <c r="E236" s="2">
        <v>36.630830000000003</v>
      </c>
      <c r="F236" s="28"/>
      <c r="G236" s="38"/>
      <c r="H236" s="2">
        <v>35.538600000000002</v>
      </c>
      <c r="I236" s="28"/>
      <c r="J236" s="38"/>
      <c r="L236" s="31"/>
      <c r="M236" s="33"/>
      <c r="N236" s="26"/>
      <c r="O236" s="5" t="s">
        <v>8</v>
      </c>
      <c r="P236" s="2">
        <v>99.600840000000005</v>
      </c>
      <c r="Q236" s="28"/>
      <c r="R236" s="38"/>
      <c r="S236" s="1">
        <v>31.672899999999998</v>
      </c>
      <c r="T236" s="31"/>
      <c r="U236" s="41"/>
    </row>
    <row r="237" spans="1:21" ht="16" x14ac:dyDescent="0.2">
      <c r="A237" s="31"/>
      <c r="B237" s="33"/>
      <c r="C237" s="26"/>
      <c r="D237" s="4" t="s">
        <v>9</v>
      </c>
      <c r="E237" s="2">
        <v>79.375169999999997</v>
      </c>
      <c r="F237" s="28"/>
      <c r="G237" s="38"/>
      <c r="H237" s="2">
        <v>37.664099999999998</v>
      </c>
      <c r="I237" s="28"/>
      <c r="J237" s="38"/>
      <c r="L237" s="31"/>
      <c r="M237" s="33"/>
      <c r="N237" s="26"/>
      <c r="O237" s="5" t="s">
        <v>9</v>
      </c>
      <c r="P237" s="2">
        <v>93.580159999999992</v>
      </c>
      <c r="Q237" s="28"/>
      <c r="R237" s="38"/>
      <c r="S237" s="1">
        <v>31.753780000000003</v>
      </c>
      <c r="T237" s="31"/>
      <c r="U237" s="41"/>
    </row>
    <row r="238" spans="1:21" ht="16" x14ac:dyDescent="0.2">
      <c r="A238" s="31"/>
      <c r="B238" s="33"/>
      <c r="C238" s="26"/>
      <c r="D238" s="4" t="s">
        <v>10</v>
      </c>
      <c r="E238" s="2">
        <v>89.612589999999997</v>
      </c>
      <c r="F238" s="28"/>
      <c r="G238" s="38"/>
      <c r="H238" s="2">
        <v>34.779330000000002</v>
      </c>
      <c r="I238" s="28"/>
      <c r="J238" s="38"/>
      <c r="L238" s="31"/>
      <c r="M238" s="33"/>
      <c r="N238" s="26"/>
      <c r="O238" s="5" t="s">
        <v>10</v>
      </c>
      <c r="P238" s="2">
        <v>188.73699999999999</v>
      </c>
      <c r="Q238" s="28"/>
      <c r="R238" s="38"/>
      <c r="S238" s="1">
        <v>35.288470000000004</v>
      </c>
      <c r="T238" s="31"/>
      <c r="U238" s="41"/>
    </row>
    <row r="239" spans="1:21" ht="16" x14ac:dyDescent="0.2">
      <c r="A239" s="31"/>
      <c r="B239" s="33"/>
      <c r="C239" s="26"/>
      <c r="D239" s="4" t="s">
        <v>11</v>
      </c>
      <c r="E239" s="2">
        <v>140.6902</v>
      </c>
      <c r="F239" s="29"/>
      <c r="G239" s="38"/>
      <c r="H239" s="2">
        <v>41.025799999999997</v>
      </c>
      <c r="I239" s="29"/>
      <c r="J239" s="38"/>
      <c r="L239" s="31"/>
      <c r="M239" s="33"/>
      <c r="N239" s="26"/>
      <c r="O239" s="5" t="s">
        <v>11</v>
      </c>
      <c r="P239" s="2">
        <v>98.850439999999992</v>
      </c>
      <c r="Q239" s="29"/>
      <c r="R239" s="38"/>
      <c r="S239" s="1">
        <v>27.218170000000001</v>
      </c>
      <c r="T239" s="32"/>
      <c r="U239" s="41"/>
    </row>
    <row r="240" spans="1:21" ht="16" x14ac:dyDescent="0.2">
      <c r="A240" s="31"/>
      <c r="B240" s="33"/>
      <c r="C240" s="26">
        <v>3</v>
      </c>
      <c r="D240" s="4" t="s">
        <v>7</v>
      </c>
      <c r="E240" s="2">
        <v>97.586430000000007</v>
      </c>
      <c r="F240" s="27">
        <f t="shared" ref="F240" si="209">AVERAGE(E240:E244)</f>
        <v>92.772327999999987</v>
      </c>
      <c r="G240" s="38"/>
      <c r="H240" s="2">
        <v>37.58643</v>
      </c>
      <c r="I240" s="27">
        <f t="shared" ref="I240" si="210">AVERAGE(H240:H244)</f>
        <v>37.572327999999999</v>
      </c>
      <c r="J240" s="38"/>
      <c r="L240" s="31"/>
      <c r="M240" s="33"/>
      <c r="N240" s="26">
        <v>3</v>
      </c>
      <c r="O240" s="5" t="s">
        <v>7</v>
      </c>
      <c r="P240" s="2">
        <v>87.484770000000012</v>
      </c>
      <c r="Q240" s="27">
        <f t="shared" ref="Q240" si="211">AVERAGE(P240:P244)</f>
        <v>137.96505999999999</v>
      </c>
      <c r="R240" s="38"/>
      <c r="S240" s="1">
        <v>29.294090000000001</v>
      </c>
      <c r="T240" s="30">
        <f t="shared" ref="T240" si="212">AVERAGE(S240:S244)</f>
        <v>28.396201999999999</v>
      </c>
      <c r="U240" s="41"/>
    </row>
    <row r="241" spans="1:21" ht="16" x14ac:dyDescent="0.2">
      <c r="A241" s="31"/>
      <c r="B241" s="33"/>
      <c r="C241" s="26"/>
      <c r="D241" s="4" t="s">
        <v>8</v>
      </c>
      <c r="E241" s="2">
        <v>42.550319999999999</v>
      </c>
      <c r="F241" s="28"/>
      <c r="G241" s="38"/>
      <c r="H241" s="2">
        <v>35.550319999999999</v>
      </c>
      <c r="I241" s="28"/>
      <c r="J241" s="38"/>
      <c r="L241" s="31"/>
      <c r="M241" s="33"/>
      <c r="N241" s="26"/>
      <c r="O241" s="5" t="s">
        <v>8</v>
      </c>
      <c r="P241" s="2">
        <v>85.697450000000003</v>
      </c>
      <c r="Q241" s="28"/>
      <c r="R241" s="38"/>
      <c r="S241" s="1">
        <v>35.863779999999998</v>
      </c>
      <c r="T241" s="31"/>
      <c r="U241" s="41"/>
    </row>
    <row r="242" spans="1:21" ht="16" x14ac:dyDescent="0.2">
      <c r="A242" s="31"/>
      <c r="B242" s="33"/>
      <c r="C242" s="26"/>
      <c r="D242" s="4" t="s">
        <v>9</v>
      </c>
      <c r="E242" s="2">
        <v>100.50425999999999</v>
      </c>
      <c r="F242" s="28"/>
      <c r="G242" s="38"/>
      <c r="H242" s="2">
        <v>40.504260000000002</v>
      </c>
      <c r="I242" s="28"/>
      <c r="J242" s="38"/>
      <c r="L242" s="31"/>
      <c r="M242" s="33"/>
      <c r="N242" s="26"/>
      <c r="O242" s="5" t="s">
        <v>9</v>
      </c>
      <c r="P242" s="2">
        <v>189.44111000000001</v>
      </c>
      <c r="Q242" s="28"/>
      <c r="R242" s="38"/>
      <c r="S242" s="1">
        <v>21.86159</v>
      </c>
      <c r="T242" s="31"/>
      <c r="U242" s="41"/>
    </row>
    <row r="243" spans="1:21" ht="16" x14ac:dyDescent="0.2">
      <c r="A243" s="31"/>
      <c r="B243" s="33"/>
      <c r="C243" s="26"/>
      <c r="D243" s="4" t="s">
        <v>10</v>
      </c>
      <c r="E243" s="2">
        <v>120.27911</v>
      </c>
      <c r="F243" s="28"/>
      <c r="G243" s="38"/>
      <c r="H243" s="2">
        <v>38.279110000000003</v>
      </c>
      <c r="I243" s="28"/>
      <c r="J243" s="38"/>
      <c r="L243" s="31"/>
      <c r="M243" s="33"/>
      <c r="N243" s="26"/>
      <c r="O243" s="5" t="s">
        <v>10</v>
      </c>
      <c r="P243" s="2">
        <v>171.88928999999999</v>
      </c>
      <c r="Q243" s="28"/>
      <c r="R243" s="38"/>
      <c r="S243" s="1">
        <v>25.12003</v>
      </c>
      <c r="T243" s="31"/>
      <c r="U243" s="41"/>
    </row>
    <row r="244" spans="1:21" ht="16" x14ac:dyDescent="0.2">
      <c r="A244" s="31"/>
      <c r="B244" s="33"/>
      <c r="C244" s="26"/>
      <c r="D244" s="4" t="s">
        <v>11</v>
      </c>
      <c r="E244" s="2">
        <v>102.94152</v>
      </c>
      <c r="F244" s="29"/>
      <c r="G244" s="38"/>
      <c r="H244" s="2">
        <v>35.941519999999997</v>
      </c>
      <c r="I244" s="29"/>
      <c r="J244" s="38"/>
      <c r="L244" s="31"/>
      <c r="M244" s="33"/>
      <c r="N244" s="26"/>
      <c r="O244" s="5" t="s">
        <v>11</v>
      </c>
      <c r="P244" s="2">
        <v>155.31268</v>
      </c>
      <c r="Q244" s="29"/>
      <c r="R244" s="38"/>
      <c r="S244" s="1">
        <v>29.841519999999999</v>
      </c>
      <c r="T244" s="32"/>
      <c r="U244" s="41"/>
    </row>
    <row r="245" spans="1:21" ht="16" x14ac:dyDescent="0.2">
      <c r="A245" s="31"/>
      <c r="B245" s="33"/>
      <c r="C245" s="26">
        <v>4</v>
      </c>
      <c r="D245" s="4" t="s">
        <v>7</v>
      </c>
      <c r="E245" s="2">
        <v>107.12736000000001</v>
      </c>
      <c r="F245" s="27">
        <f t="shared" ref="F245" si="213">AVERAGE(E245:E249)</f>
        <v>98.355040000000002</v>
      </c>
      <c r="G245" s="38"/>
      <c r="H245" s="2">
        <v>37.127359999999996</v>
      </c>
      <c r="I245" s="27">
        <f t="shared" ref="I245" si="214">AVERAGE(H245:H249)</f>
        <v>38.355039999999995</v>
      </c>
      <c r="J245" s="38"/>
      <c r="L245" s="31"/>
      <c r="M245" s="33"/>
      <c r="N245" s="26">
        <v>4</v>
      </c>
      <c r="O245" s="5" t="s">
        <v>7</v>
      </c>
      <c r="P245" s="2">
        <v>87.712819999999994</v>
      </c>
      <c r="Q245" s="27">
        <f t="shared" ref="Q245" si="215">AVERAGE(P245:P249)</f>
        <v>137.531398</v>
      </c>
      <c r="R245" s="38"/>
      <c r="S245" s="1">
        <v>25.769349999999999</v>
      </c>
      <c r="T245" s="30">
        <f t="shared" ref="T245" si="216">AVERAGE(S245:S249)</f>
        <v>30.097051999999998</v>
      </c>
      <c r="U245" s="41"/>
    </row>
    <row r="246" spans="1:21" ht="16" x14ac:dyDescent="0.2">
      <c r="A246" s="31"/>
      <c r="B246" s="33"/>
      <c r="C246" s="26"/>
      <c r="D246" s="4" t="s">
        <v>8</v>
      </c>
      <c r="E246" s="2">
        <v>91.78370000000001</v>
      </c>
      <c r="F246" s="28"/>
      <c r="G246" s="38"/>
      <c r="H246" s="2">
        <v>41.783699999999996</v>
      </c>
      <c r="I246" s="28"/>
      <c r="J246" s="38"/>
      <c r="L246" s="31"/>
      <c r="M246" s="33"/>
      <c r="N246" s="26"/>
      <c r="O246" s="5" t="s">
        <v>8</v>
      </c>
      <c r="P246" s="2">
        <v>177.70643000000001</v>
      </c>
      <c r="Q246" s="28"/>
      <c r="R246" s="38"/>
      <c r="S246" s="1">
        <v>30.173909999999999</v>
      </c>
      <c r="T246" s="31"/>
      <c r="U246" s="41"/>
    </row>
    <row r="247" spans="1:21" ht="16" x14ac:dyDescent="0.2">
      <c r="A247" s="31"/>
      <c r="B247" s="33"/>
      <c r="C247" s="26"/>
      <c r="D247" s="4" t="s">
        <v>9</v>
      </c>
      <c r="E247" s="2">
        <v>97.588340000000002</v>
      </c>
      <c r="F247" s="28"/>
      <c r="G247" s="38"/>
      <c r="H247" s="2">
        <v>37.588339999999995</v>
      </c>
      <c r="I247" s="28"/>
      <c r="J247" s="38"/>
      <c r="L247" s="31"/>
      <c r="M247" s="33"/>
      <c r="N247" s="26"/>
      <c r="O247" s="5" t="s">
        <v>9</v>
      </c>
      <c r="P247" s="2">
        <v>161.78442999999999</v>
      </c>
      <c r="Q247" s="28"/>
      <c r="R247" s="38"/>
      <c r="S247" s="1">
        <v>28.38785</v>
      </c>
      <c r="T247" s="31"/>
      <c r="U247" s="41"/>
    </row>
    <row r="248" spans="1:21" ht="16" x14ac:dyDescent="0.2">
      <c r="A248" s="31"/>
      <c r="B248" s="33"/>
      <c r="C248" s="26"/>
      <c r="D248" s="4" t="s">
        <v>10</v>
      </c>
      <c r="E248" s="2">
        <v>103.07201999999999</v>
      </c>
      <c r="F248" s="28"/>
      <c r="G248" s="38"/>
      <c r="H248" s="2">
        <v>33.072020000000002</v>
      </c>
      <c r="I248" s="28"/>
      <c r="J248" s="38"/>
      <c r="L248" s="31"/>
      <c r="M248" s="33"/>
      <c r="N248" s="26"/>
      <c r="O248" s="5" t="s">
        <v>10</v>
      </c>
      <c r="P248" s="2">
        <v>167.45117999999999</v>
      </c>
      <c r="Q248" s="28"/>
      <c r="R248" s="38"/>
      <c r="S248" s="1">
        <v>30.02197</v>
      </c>
      <c r="T248" s="31"/>
      <c r="U248" s="41"/>
    </row>
    <row r="249" spans="1:21" ht="16" x14ac:dyDescent="0.2">
      <c r="A249" s="31"/>
      <c r="B249" s="33"/>
      <c r="C249" s="26"/>
      <c r="D249" s="4" t="s">
        <v>11</v>
      </c>
      <c r="E249" s="2">
        <v>92.203780000000009</v>
      </c>
      <c r="F249" s="29"/>
      <c r="G249" s="38"/>
      <c r="H249" s="2">
        <v>42.203779999999995</v>
      </c>
      <c r="I249" s="29"/>
      <c r="J249" s="38"/>
      <c r="L249" s="31"/>
      <c r="M249" s="33"/>
      <c r="N249" s="26"/>
      <c r="O249" s="5" t="s">
        <v>11</v>
      </c>
      <c r="P249" s="2">
        <v>93.002129999999994</v>
      </c>
      <c r="Q249" s="29"/>
      <c r="R249" s="38"/>
      <c r="S249" s="1">
        <v>36.132179999999998</v>
      </c>
      <c r="T249" s="32"/>
      <c r="U249" s="41"/>
    </row>
    <row r="250" spans="1:21" ht="16" x14ac:dyDescent="0.2">
      <c r="A250" s="31"/>
      <c r="B250" s="33"/>
      <c r="C250" s="26">
        <v>5</v>
      </c>
      <c r="D250" s="4" t="s">
        <v>7</v>
      </c>
      <c r="E250" s="2">
        <v>104.61812</v>
      </c>
      <c r="F250" s="27">
        <f t="shared" ref="F250" si="217">AVERAGE(E250:E254)</f>
        <v>96.796841999999998</v>
      </c>
      <c r="G250" s="38"/>
      <c r="H250" s="2">
        <v>38.618119999999998</v>
      </c>
      <c r="I250" s="27">
        <f t="shared" ref="I250" si="218">AVERAGE(H250:H254)</f>
        <v>37.596842000000002</v>
      </c>
      <c r="J250" s="38"/>
      <c r="L250" s="31"/>
      <c r="M250" s="33"/>
      <c r="N250" s="26">
        <v>5</v>
      </c>
      <c r="O250" s="5" t="s">
        <v>7</v>
      </c>
      <c r="P250" s="2">
        <v>136.87446</v>
      </c>
      <c r="Q250" s="27">
        <f t="shared" ref="Q250" si="219">AVERAGE(P250:P254)</f>
        <v>134.76591399999998</v>
      </c>
      <c r="R250" s="38"/>
      <c r="S250" s="1">
        <v>33.077210000000001</v>
      </c>
      <c r="T250" s="30">
        <f t="shared" ref="T250" si="220">AVERAGE(S250:S254)</f>
        <v>31.587554000000001</v>
      </c>
      <c r="U250" s="41"/>
    </row>
    <row r="251" spans="1:21" ht="16" x14ac:dyDescent="0.2">
      <c r="A251" s="31"/>
      <c r="B251" s="33"/>
      <c r="C251" s="26"/>
      <c r="D251" s="4" t="s">
        <v>8</v>
      </c>
      <c r="E251" s="2">
        <v>98.528850000000006</v>
      </c>
      <c r="F251" s="28"/>
      <c r="G251" s="38"/>
      <c r="H251" s="2">
        <v>38.528850000000006</v>
      </c>
      <c r="I251" s="28"/>
      <c r="J251" s="38"/>
      <c r="L251" s="31"/>
      <c r="M251" s="33"/>
      <c r="N251" s="26"/>
      <c r="O251" s="5" t="s">
        <v>8</v>
      </c>
      <c r="P251" s="2">
        <v>149.71412000000001</v>
      </c>
      <c r="Q251" s="28"/>
      <c r="R251" s="38"/>
      <c r="S251" s="1">
        <v>31.864450000000001</v>
      </c>
      <c r="T251" s="31"/>
      <c r="U251" s="41"/>
    </row>
    <row r="252" spans="1:21" ht="16" x14ac:dyDescent="0.2">
      <c r="A252" s="31"/>
      <c r="B252" s="33"/>
      <c r="C252" s="26"/>
      <c r="D252" s="4" t="s">
        <v>9</v>
      </c>
      <c r="E252" s="2">
        <v>109.52123</v>
      </c>
      <c r="F252" s="28"/>
      <c r="G252" s="38"/>
      <c r="H252" s="2">
        <v>39.521230000000003</v>
      </c>
      <c r="I252" s="28"/>
      <c r="J252" s="38"/>
      <c r="L252" s="31"/>
      <c r="M252" s="33"/>
      <c r="N252" s="26"/>
      <c r="O252" s="5" t="s">
        <v>9</v>
      </c>
      <c r="P252" s="2">
        <v>134.16755999999998</v>
      </c>
      <c r="Q252" s="28"/>
      <c r="R252" s="38"/>
      <c r="S252" s="1">
        <v>28.322310000000002</v>
      </c>
      <c r="T252" s="31"/>
      <c r="U252" s="41"/>
    </row>
    <row r="253" spans="1:21" ht="16" x14ac:dyDescent="0.2">
      <c r="A253" s="31"/>
      <c r="B253" s="33"/>
      <c r="C253" s="26"/>
      <c r="D253" s="4" t="s">
        <v>10</v>
      </c>
      <c r="E253" s="2">
        <v>66.041470000000004</v>
      </c>
      <c r="F253" s="28"/>
      <c r="G253" s="38"/>
      <c r="H253" s="2">
        <v>36.041469999999997</v>
      </c>
      <c r="I253" s="28"/>
      <c r="J253" s="38"/>
      <c r="L253" s="31"/>
      <c r="M253" s="33"/>
      <c r="N253" s="26"/>
      <c r="O253" s="5" t="s">
        <v>10</v>
      </c>
      <c r="P253" s="2">
        <v>86.794920000000005</v>
      </c>
      <c r="Q253" s="28"/>
      <c r="R253" s="38"/>
      <c r="S253" s="1">
        <v>33.934080000000002</v>
      </c>
      <c r="T253" s="31"/>
      <c r="U253" s="41"/>
    </row>
    <row r="254" spans="1:21" ht="16" x14ac:dyDescent="0.2">
      <c r="A254" s="31"/>
      <c r="B254" s="33"/>
      <c r="C254" s="26"/>
      <c r="D254" s="4" t="s">
        <v>11</v>
      </c>
      <c r="E254" s="2">
        <v>105.27454</v>
      </c>
      <c r="F254" s="29"/>
      <c r="G254" s="39"/>
      <c r="H254" s="2">
        <v>35.274540000000002</v>
      </c>
      <c r="I254" s="29"/>
      <c r="J254" s="39"/>
      <c r="L254" s="31"/>
      <c r="M254" s="33"/>
      <c r="N254" s="26"/>
      <c r="O254" s="5" t="s">
        <v>11</v>
      </c>
      <c r="P254" s="2">
        <v>166.27850999999998</v>
      </c>
      <c r="Q254" s="29"/>
      <c r="R254" s="39"/>
      <c r="S254" s="1">
        <v>30.739720000000002</v>
      </c>
      <c r="T254" s="32"/>
      <c r="U254" s="42"/>
    </row>
    <row r="255" spans="1:21" ht="16" x14ac:dyDescent="0.2">
      <c r="A255" s="31"/>
      <c r="B255" s="26">
        <v>2</v>
      </c>
      <c r="C255" s="26">
        <v>1</v>
      </c>
      <c r="D255" s="4" t="s">
        <v>7</v>
      </c>
      <c r="E255" s="2">
        <v>108.41102000000001</v>
      </c>
      <c r="F255" s="27">
        <f t="shared" ref="F255" si="221">AVERAGE(E255:E259)</f>
        <v>85.852789999999999</v>
      </c>
      <c r="G255" s="37">
        <f>AVERAGE(F255:F279)</f>
        <v>86.429009600000001</v>
      </c>
      <c r="H255" s="2">
        <v>38.411020000000001</v>
      </c>
      <c r="I255" s="27">
        <f t="shared" ref="I255" si="222">AVERAGE(H255:H259)</f>
        <v>39.852790000000006</v>
      </c>
      <c r="J255" s="37">
        <f t="shared" ref="J255" si="223">AVERAGE(I255:I279)</f>
        <v>38.321576800000003</v>
      </c>
      <c r="L255" s="31"/>
      <c r="M255" s="33">
        <v>2</v>
      </c>
      <c r="N255" s="26">
        <v>1</v>
      </c>
      <c r="O255" s="5" t="s">
        <v>7</v>
      </c>
      <c r="P255" s="2">
        <v>114.97649</v>
      </c>
      <c r="Q255" s="27">
        <f t="shared" ref="Q255" si="224">AVERAGE(P255:P259)</f>
        <v>140.063018</v>
      </c>
      <c r="R255" s="37">
        <f t="shared" ref="R255" si="225">AVERAGE(Q255:Q279)</f>
        <v>130.2289456</v>
      </c>
      <c r="S255" s="1">
        <v>29.129000000000001</v>
      </c>
      <c r="T255" s="30">
        <f t="shared" ref="T255" si="226">AVERAGE(S255:S259)</f>
        <v>29.114736000000001</v>
      </c>
      <c r="U255" s="40">
        <f t="shared" ref="U255" si="227">AVERAGE(T255:T279)</f>
        <v>30.452640800000001</v>
      </c>
    </row>
    <row r="256" spans="1:21" ht="16" x14ac:dyDescent="0.2">
      <c r="A256" s="31"/>
      <c r="B256" s="26"/>
      <c r="C256" s="26"/>
      <c r="D256" s="4" t="s">
        <v>8</v>
      </c>
      <c r="E256" s="2">
        <v>71.982110000000006</v>
      </c>
      <c r="F256" s="28"/>
      <c r="G256" s="38"/>
      <c r="H256" s="2">
        <v>41.982110000000006</v>
      </c>
      <c r="I256" s="28"/>
      <c r="J256" s="38"/>
      <c r="L256" s="31"/>
      <c r="M256" s="33"/>
      <c r="N256" s="26"/>
      <c r="O256" s="5" t="s">
        <v>8</v>
      </c>
      <c r="P256" s="2">
        <v>130.28941</v>
      </c>
      <c r="Q256" s="28"/>
      <c r="R256" s="38"/>
      <c r="S256" s="1">
        <v>32.051290000000002</v>
      </c>
      <c r="T256" s="31"/>
      <c r="U256" s="41"/>
    </row>
    <row r="257" spans="1:21" ht="16" x14ac:dyDescent="0.2">
      <c r="A257" s="31"/>
      <c r="B257" s="26"/>
      <c r="C257" s="26"/>
      <c r="D257" s="4" t="s">
        <v>9</v>
      </c>
      <c r="E257" s="2">
        <v>82.548209999999997</v>
      </c>
      <c r="F257" s="28"/>
      <c r="G257" s="38"/>
      <c r="H257" s="2">
        <v>42.548209999999997</v>
      </c>
      <c r="I257" s="28"/>
      <c r="J257" s="38"/>
      <c r="L257" s="31"/>
      <c r="M257" s="33"/>
      <c r="N257" s="26"/>
      <c r="O257" s="5" t="s">
        <v>9</v>
      </c>
      <c r="P257" s="2">
        <v>151.29997</v>
      </c>
      <c r="Q257" s="28"/>
      <c r="R257" s="38"/>
      <c r="S257" s="1">
        <v>29.175079999999998</v>
      </c>
      <c r="T257" s="31"/>
      <c r="U257" s="41"/>
    </row>
    <row r="258" spans="1:21" ht="16" x14ac:dyDescent="0.2">
      <c r="A258" s="31"/>
      <c r="B258" s="26"/>
      <c r="C258" s="26"/>
      <c r="D258" s="4" t="s">
        <v>10</v>
      </c>
      <c r="E258" s="2">
        <v>87.348089999999999</v>
      </c>
      <c r="F258" s="28"/>
      <c r="G258" s="38"/>
      <c r="H258" s="2">
        <v>37.348089999999999</v>
      </c>
      <c r="I258" s="28"/>
      <c r="J258" s="38"/>
      <c r="L258" s="31"/>
      <c r="M258" s="33"/>
      <c r="N258" s="26"/>
      <c r="O258" s="5" t="s">
        <v>10</v>
      </c>
      <c r="P258" s="2">
        <v>166.66548999999998</v>
      </c>
      <c r="Q258" s="28"/>
      <c r="R258" s="38"/>
      <c r="S258" s="1">
        <v>26.988949999999999</v>
      </c>
      <c r="T258" s="31"/>
      <c r="U258" s="41"/>
    </row>
    <row r="259" spans="1:21" ht="16" x14ac:dyDescent="0.2">
      <c r="A259" s="31"/>
      <c r="B259" s="26"/>
      <c r="C259" s="26"/>
      <c r="D259" s="4" t="s">
        <v>11</v>
      </c>
      <c r="E259" s="2">
        <v>78.974519999999998</v>
      </c>
      <c r="F259" s="29"/>
      <c r="G259" s="38"/>
      <c r="H259" s="2">
        <v>38.974520000000005</v>
      </c>
      <c r="I259" s="29"/>
      <c r="J259" s="38"/>
      <c r="L259" s="31"/>
      <c r="M259" s="33"/>
      <c r="N259" s="26"/>
      <c r="O259" s="5" t="s">
        <v>11</v>
      </c>
      <c r="P259" s="2">
        <v>137.08373</v>
      </c>
      <c r="Q259" s="29"/>
      <c r="R259" s="38"/>
      <c r="S259" s="1">
        <v>28.22936</v>
      </c>
      <c r="T259" s="32"/>
      <c r="U259" s="41"/>
    </row>
    <row r="260" spans="1:21" ht="16" x14ac:dyDescent="0.2">
      <c r="A260" s="31"/>
      <c r="B260" s="26"/>
      <c r="C260" s="26">
        <v>2</v>
      </c>
      <c r="D260" s="4" t="s">
        <v>7</v>
      </c>
      <c r="E260" s="2">
        <v>67.259920000000008</v>
      </c>
      <c r="F260" s="27">
        <f t="shared" ref="F260" si="228">AVERAGE(E260:E264)</f>
        <v>75.821222000000006</v>
      </c>
      <c r="G260" s="38"/>
      <c r="H260" s="2">
        <v>37.259920000000001</v>
      </c>
      <c r="I260" s="27">
        <f t="shared" ref="I260" si="229">AVERAGE(H260:H264)</f>
        <v>37.821221999999999</v>
      </c>
      <c r="J260" s="38"/>
      <c r="L260" s="31"/>
      <c r="M260" s="33"/>
      <c r="N260" s="26">
        <v>2</v>
      </c>
      <c r="O260" s="5" t="s">
        <v>7</v>
      </c>
      <c r="P260" s="2">
        <v>108.46611000000001</v>
      </c>
      <c r="Q260" s="27">
        <f t="shared" ref="Q260" si="230">AVERAGE(P260:P264)</f>
        <v>112.96136799999999</v>
      </c>
      <c r="R260" s="38"/>
      <c r="S260" s="1">
        <v>29.3231</v>
      </c>
      <c r="T260" s="30">
        <f t="shared" ref="T260" si="231">AVERAGE(S260:S264)</f>
        <v>30.309591999999999</v>
      </c>
      <c r="U260" s="41"/>
    </row>
    <row r="261" spans="1:21" ht="16" x14ac:dyDescent="0.2">
      <c r="A261" s="31"/>
      <c r="B261" s="26"/>
      <c r="C261" s="26"/>
      <c r="D261" s="4" t="s">
        <v>8</v>
      </c>
      <c r="E261" s="2">
        <v>78.910669999999996</v>
      </c>
      <c r="F261" s="28"/>
      <c r="G261" s="38"/>
      <c r="H261" s="2">
        <v>38.910670000000003</v>
      </c>
      <c r="I261" s="28"/>
      <c r="J261" s="38"/>
      <c r="L261" s="31"/>
      <c r="M261" s="33"/>
      <c r="N261" s="26"/>
      <c r="O261" s="5" t="s">
        <v>8</v>
      </c>
      <c r="P261" s="2">
        <v>118.50748</v>
      </c>
      <c r="Q261" s="28"/>
      <c r="R261" s="38"/>
      <c r="S261" s="1">
        <v>33.062759999999997</v>
      </c>
      <c r="T261" s="31"/>
      <c r="U261" s="41"/>
    </row>
    <row r="262" spans="1:21" ht="16" x14ac:dyDescent="0.2">
      <c r="A262" s="31"/>
      <c r="B262" s="26"/>
      <c r="C262" s="26"/>
      <c r="D262" s="4" t="s">
        <v>9</v>
      </c>
      <c r="E262" s="2">
        <v>82.763019999999997</v>
      </c>
      <c r="F262" s="28"/>
      <c r="G262" s="38"/>
      <c r="H262" s="2">
        <v>32.763020000000004</v>
      </c>
      <c r="I262" s="28"/>
      <c r="J262" s="38"/>
      <c r="L262" s="31"/>
      <c r="M262" s="33"/>
      <c r="N262" s="26"/>
      <c r="O262" s="5" t="s">
        <v>9</v>
      </c>
      <c r="P262" s="2">
        <v>134.47789</v>
      </c>
      <c r="Q262" s="28"/>
      <c r="R262" s="38"/>
      <c r="S262" s="1">
        <v>29.209209999999999</v>
      </c>
      <c r="T262" s="31"/>
      <c r="U262" s="41"/>
    </row>
    <row r="263" spans="1:21" ht="16" x14ac:dyDescent="0.2">
      <c r="A263" s="31"/>
      <c r="B263" s="26"/>
      <c r="C263" s="26"/>
      <c r="D263" s="4" t="s">
        <v>10</v>
      </c>
      <c r="E263" s="2">
        <v>92.704560000000001</v>
      </c>
      <c r="F263" s="28"/>
      <c r="G263" s="38"/>
      <c r="H263" s="2">
        <v>42.704560000000001</v>
      </c>
      <c r="I263" s="28"/>
      <c r="J263" s="38"/>
      <c r="L263" s="31"/>
      <c r="M263" s="33"/>
      <c r="N263" s="26"/>
      <c r="O263" s="5" t="s">
        <v>10</v>
      </c>
      <c r="P263" s="2">
        <v>109.02200000000001</v>
      </c>
      <c r="Q263" s="28"/>
      <c r="R263" s="38"/>
      <c r="S263" s="1">
        <v>30.312240000000003</v>
      </c>
      <c r="T263" s="31"/>
      <c r="U263" s="41"/>
    </row>
    <row r="264" spans="1:21" ht="16" x14ac:dyDescent="0.2">
      <c r="A264" s="31"/>
      <c r="B264" s="26"/>
      <c r="C264" s="26"/>
      <c r="D264" s="4" t="s">
        <v>11</v>
      </c>
      <c r="E264" s="2">
        <v>57.467939999999999</v>
      </c>
      <c r="F264" s="29"/>
      <c r="G264" s="38"/>
      <c r="H264" s="2">
        <v>37.467939999999999</v>
      </c>
      <c r="I264" s="29"/>
      <c r="J264" s="38"/>
      <c r="L264" s="31"/>
      <c r="M264" s="33"/>
      <c r="N264" s="26"/>
      <c r="O264" s="5" t="s">
        <v>11</v>
      </c>
      <c r="P264" s="2">
        <v>94.333359999999999</v>
      </c>
      <c r="Q264" s="29"/>
      <c r="R264" s="38"/>
      <c r="S264" s="1">
        <v>29.640650000000001</v>
      </c>
      <c r="T264" s="32"/>
      <c r="U264" s="41"/>
    </row>
    <row r="265" spans="1:21" ht="16" x14ac:dyDescent="0.2">
      <c r="A265" s="31"/>
      <c r="B265" s="26"/>
      <c r="C265" s="26">
        <v>3</v>
      </c>
      <c r="D265" s="4" t="s">
        <v>7</v>
      </c>
      <c r="E265" s="2">
        <v>26.053960000000004</v>
      </c>
      <c r="F265" s="27">
        <f t="shared" ref="F265" si="232">AVERAGE(E265:E269)</f>
        <v>93.745890000000003</v>
      </c>
      <c r="G265" s="38"/>
      <c r="H265" s="2">
        <v>36.053960000000004</v>
      </c>
      <c r="I265" s="27">
        <f t="shared" ref="I265" si="233">AVERAGE(H265:H269)</f>
        <v>39.829338</v>
      </c>
      <c r="J265" s="38"/>
      <c r="L265" s="31"/>
      <c r="M265" s="33"/>
      <c r="N265" s="26">
        <v>3</v>
      </c>
      <c r="O265" s="5" t="s">
        <v>7</v>
      </c>
      <c r="P265" s="2">
        <v>94.286020000000008</v>
      </c>
      <c r="Q265" s="27">
        <f t="shared" ref="Q265" si="234">AVERAGE(P265:P269)</f>
        <v>119.79882000000001</v>
      </c>
      <c r="R265" s="38"/>
      <c r="S265" s="1">
        <v>24.59712</v>
      </c>
      <c r="T265" s="30">
        <f t="shared" ref="T265" si="235">AVERAGE(S265:S269)</f>
        <v>27.979982</v>
      </c>
      <c r="U265" s="41"/>
    </row>
    <row r="266" spans="1:21" ht="16" x14ac:dyDescent="0.2">
      <c r="A266" s="31"/>
      <c r="B266" s="26"/>
      <c r="C266" s="26"/>
      <c r="D266" s="4" t="s">
        <v>8</v>
      </c>
      <c r="E266" s="2">
        <v>125.64621</v>
      </c>
      <c r="F266" s="28"/>
      <c r="G266" s="38"/>
      <c r="H266" s="2">
        <v>41.1875</v>
      </c>
      <c r="I266" s="28"/>
      <c r="J266" s="38"/>
      <c r="L266" s="31"/>
      <c r="M266" s="33"/>
      <c r="N266" s="26"/>
      <c r="O266" s="5" t="s">
        <v>8</v>
      </c>
      <c r="P266" s="2">
        <v>174.00772000000001</v>
      </c>
      <c r="Q266" s="28"/>
      <c r="R266" s="38"/>
      <c r="S266" s="1">
        <v>32.175080000000001</v>
      </c>
      <c r="T266" s="31"/>
      <c r="U266" s="41"/>
    </row>
    <row r="267" spans="1:21" ht="16" x14ac:dyDescent="0.2">
      <c r="A267" s="31"/>
      <c r="B267" s="26"/>
      <c r="C267" s="26"/>
      <c r="D267" s="4" t="s">
        <v>9</v>
      </c>
      <c r="E267" s="2">
        <v>110.48521000000001</v>
      </c>
      <c r="F267" s="28"/>
      <c r="G267" s="38"/>
      <c r="H267" s="2">
        <v>38.118009999999998</v>
      </c>
      <c r="I267" s="28"/>
      <c r="J267" s="38"/>
      <c r="L267" s="31"/>
      <c r="M267" s="33"/>
      <c r="N267" s="26"/>
      <c r="O267" s="5" t="s">
        <v>9</v>
      </c>
      <c r="P267" s="2">
        <v>98.955529999999996</v>
      </c>
      <c r="Q267" s="28"/>
      <c r="R267" s="38"/>
      <c r="S267" s="1">
        <v>26.039340000000003</v>
      </c>
      <c r="T267" s="31"/>
      <c r="U267" s="41"/>
    </row>
    <row r="268" spans="1:21" ht="16" x14ac:dyDescent="0.2">
      <c r="A268" s="31"/>
      <c r="B268" s="26"/>
      <c r="C268" s="26"/>
      <c r="D268" s="4" t="s">
        <v>10</v>
      </c>
      <c r="E268" s="2">
        <v>89.775949999999995</v>
      </c>
      <c r="F268" s="28"/>
      <c r="G268" s="38"/>
      <c r="H268" s="2">
        <v>41.104179999999999</v>
      </c>
      <c r="I268" s="28"/>
      <c r="J268" s="38"/>
      <c r="L268" s="31"/>
      <c r="M268" s="33"/>
      <c r="N268" s="26"/>
      <c r="O268" s="5" t="s">
        <v>10</v>
      </c>
      <c r="P268" s="2">
        <v>132.57759999999999</v>
      </c>
      <c r="Q268" s="28"/>
      <c r="R268" s="38"/>
      <c r="S268" s="1">
        <v>29.033939999999998</v>
      </c>
      <c r="T268" s="31"/>
      <c r="U268" s="41"/>
    </row>
    <row r="269" spans="1:21" ht="16" x14ac:dyDescent="0.2">
      <c r="A269" s="31"/>
      <c r="B269" s="26"/>
      <c r="C269" s="26"/>
      <c r="D269" s="4" t="s">
        <v>11</v>
      </c>
      <c r="E269" s="2">
        <v>116.76812</v>
      </c>
      <c r="F269" s="29"/>
      <c r="G269" s="38"/>
      <c r="H269" s="2">
        <v>42.683039999999998</v>
      </c>
      <c r="I269" s="29"/>
      <c r="J269" s="38"/>
      <c r="L269" s="31"/>
      <c r="M269" s="33"/>
      <c r="N269" s="26"/>
      <c r="O269" s="5" t="s">
        <v>11</v>
      </c>
      <c r="P269" s="2">
        <v>99.167230000000004</v>
      </c>
      <c r="Q269" s="29"/>
      <c r="R269" s="38"/>
      <c r="S269" s="1">
        <v>28.054430000000004</v>
      </c>
      <c r="T269" s="32"/>
      <c r="U269" s="41"/>
    </row>
    <row r="270" spans="1:21" ht="16" x14ac:dyDescent="0.2">
      <c r="A270" s="31"/>
      <c r="B270" s="26"/>
      <c r="C270" s="26">
        <v>4</v>
      </c>
      <c r="D270" s="4" t="s">
        <v>7</v>
      </c>
      <c r="E270" s="2">
        <v>57.846450000000004</v>
      </c>
      <c r="F270" s="27">
        <f t="shared" ref="F270" si="236">AVERAGE(E270:E274)</f>
        <v>89.419529999999995</v>
      </c>
      <c r="G270" s="38"/>
      <c r="H270" s="2">
        <v>41.163190000000007</v>
      </c>
      <c r="I270" s="27">
        <f t="shared" ref="I270" si="237">AVERAGE(H270:H274)</f>
        <v>39.041677999999997</v>
      </c>
      <c r="J270" s="38"/>
      <c r="L270" s="31"/>
      <c r="M270" s="33"/>
      <c r="N270" s="26">
        <v>4</v>
      </c>
      <c r="O270" s="5" t="s">
        <v>7</v>
      </c>
      <c r="P270" s="2">
        <v>99.683819999999997</v>
      </c>
      <c r="Q270" s="27">
        <f t="shared" ref="Q270" si="238">AVERAGE(P270:P274)</f>
        <v>143.55560800000001</v>
      </c>
      <c r="R270" s="38"/>
      <c r="S270" s="1">
        <v>26.372820000000001</v>
      </c>
      <c r="T270" s="30">
        <f t="shared" ref="T270" si="239">AVERAGE(S270:S274)</f>
        <v>31.271339999999999</v>
      </c>
      <c r="U270" s="41"/>
    </row>
    <row r="271" spans="1:21" ht="16" x14ac:dyDescent="0.2">
      <c r="A271" s="31"/>
      <c r="B271" s="26"/>
      <c r="C271" s="26"/>
      <c r="D271" s="4" t="s">
        <v>8</v>
      </c>
      <c r="E271" s="2">
        <v>85.454300000000003</v>
      </c>
      <c r="F271" s="28"/>
      <c r="G271" s="38"/>
      <c r="H271" s="2">
        <v>42.031719999999993</v>
      </c>
      <c r="I271" s="28"/>
      <c r="J271" s="38"/>
      <c r="L271" s="31"/>
      <c r="M271" s="33"/>
      <c r="N271" s="26"/>
      <c r="O271" s="5" t="s">
        <v>8</v>
      </c>
      <c r="P271" s="2">
        <v>155.26541</v>
      </c>
      <c r="Q271" s="28"/>
      <c r="R271" s="38"/>
      <c r="S271" s="1">
        <v>38.488979999999998</v>
      </c>
      <c r="T271" s="31"/>
      <c r="U271" s="41"/>
    </row>
    <row r="272" spans="1:21" ht="16" x14ac:dyDescent="0.2">
      <c r="A272" s="31"/>
      <c r="B272" s="26"/>
      <c r="C272" s="26"/>
      <c r="D272" s="4" t="s">
        <v>9</v>
      </c>
      <c r="E272" s="2">
        <v>94.744810000000001</v>
      </c>
      <c r="F272" s="28"/>
      <c r="G272" s="38"/>
      <c r="H272" s="2">
        <v>38.693339999999999</v>
      </c>
      <c r="I272" s="28"/>
      <c r="J272" s="38"/>
      <c r="L272" s="31"/>
      <c r="M272" s="33"/>
      <c r="N272" s="26"/>
      <c r="O272" s="5" t="s">
        <v>9</v>
      </c>
      <c r="P272" s="2">
        <v>157.04078999999999</v>
      </c>
      <c r="Q272" s="28"/>
      <c r="R272" s="38"/>
      <c r="S272" s="1">
        <v>28.220839999999999</v>
      </c>
      <c r="T272" s="31"/>
      <c r="U272" s="41"/>
    </row>
    <row r="273" spans="1:21" ht="16" x14ac:dyDescent="0.2">
      <c r="A273" s="31"/>
      <c r="B273" s="26"/>
      <c r="C273" s="26"/>
      <c r="D273" s="4" t="s">
        <v>10</v>
      </c>
      <c r="E273" s="2">
        <v>103.52068</v>
      </c>
      <c r="F273" s="28"/>
      <c r="G273" s="38"/>
      <c r="H273" s="2">
        <v>33.823909999999998</v>
      </c>
      <c r="I273" s="28"/>
      <c r="J273" s="38"/>
      <c r="L273" s="31"/>
      <c r="M273" s="33"/>
      <c r="N273" s="26"/>
      <c r="O273" s="5" t="s">
        <v>10</v>
      </c>
      <c r="P273" s="2">
        <v>166.14034000000001</v>
      </c>
      <c r="Q273" s="28"/>
      <c r="R273" s="38"/>
      <c r="S273" s="1">
        <v>34.252009999999999</v>
      </c>
      <c r="T273" s="31"/>
      <c r="U273" s="41"/>
    </row>
    <row r="274" spans="1:21" ht="16" x14ac:dyDescent="0.2">
      <c r="A274" s="31"/>
      <c r="B274" s="26"/>
      <c r="C274" s="26"/>
      <c r="D274" s="4" t="s">
        <v>11</v>
      </c>
      <c r="E274" s="2">
        <v>105.53140999999999</v>
      </c>
      <c r="F274" s="29"/>
      <c r="G274" s="38"/>
      <c r="H274" s="2">
        <v>39.496229999999997</v>
      </c>
      <c r="I274" s="29"/>
      <c r="J274" s="38"/>
      <c r="L274" s="31"/>
      <c r="M274" s="33"/>
      <c r="N274" s="26"/>
      <c r="O274" s="5" t="s">
        <v>11</v>
      </c>
      <c r="P274" s="2">
        <v>139.64768000000001</v>
      </c>
      <c r="Q274" s="29"/>
      <c r="R274" s="38"/>
      <c r="S274" s="1">
        <v>29.02205</v>
      </c>
      <c r="T274" s="32"/>
      <c r="U274" s="41"/>
    </row>
    <row r="275" spans="1:21" ht="16" x14ac:dyDescent="0.2">
      <c r="A275" s="31"/>
      <c r="B275" s="26"/>
      <c r="C275" s="26">
        <v>5</v>
      </c>
      <c r="D275" s="4" t="s">
        <v>7</v>
      </c>
      <c r="E275" s="2">
        <v>77.362470000000002</v>
      </c>
      <c r="F275" s="27">
        <f t="shared" ref="F275" si="240">AVERAGE(E275:E279)</f>
        <v>87.305616000000001</v>
      </c>
      <c r="G275" s="38"/>
      <c r="H275" s="2">
        <v>39.209209999999999</v>
      </c>
      <c r="I275" s="27">
        <f t="shared" ref="I275" si="241">AVERAGE(H275:H279)</f>
        <v>35.062855999999996</v>
      </c>
      <c r="J275" s="38"/>
      <c r="L275" s="31"/>
      <c r="M275" s="33"/>
      <c r="N275" s="26">
        <v>5</v>
      </c>
      <c r="O275" s="5" t="s">
        <v>7</v>
      </c>
      <c r="P275" s="2">
        <v>136.87446</v>
      </c>
      <c r="Q275" s="27">
        <f t="shared" ref="Q275" si="242">AVERAGE(P275:P279)</f>
        <v>134.76591399999998</v>
      </c>
      <c r="R275" s="38"/>
      <c r="S275" s="1">
        <v>33.077210000000001</v>
      </c>
      <c r="T275" s="30">
        <f t="shared" ref="T275" si="243">AVERAGE(S275:S279)</f>
        <v>33.587553999999997</v>
      </c>
      <c r="U275" s="41"/>
    </row>
    <row r="276" spans="1:21" ht="16" x14ac:dyDescent="0.2">
      <c r="A276" s="31"/>
      <c r="B276" s="26"/>
      <c r="C276" s="26"/>
      <c r="D276" s="4" t="s">
        <v>8</v>
      </c>
      <c r="E276" s="2">
        <v>92.931839999999994</v>
      </c>
      <c r="F276" s="28"/>
      <c r="G276" s="38"/>
      <c r="H276" s="2">
        <v>35.12003</v>
      </c>
      <c r="I276" s="28"/>
      <c r="J276" s="38"/>
      <c r="L276" s="31"/>
      <c r="M276" s="33"/>
      <c r="N276" s="26"/>
      <c r="O276" s="5" t="s">
        <v>8</v>
      </c>
      <c r="P276" s="2">
        <v>149.71412000000001</v>
      </c>
      <c r="Q276" s="28"/>
      <c r="R276" s="38"/>
      <c r="S276" s="1">
        <v>31.864450000000001</v>
      </c>
      <c r="T276" s="31"/>
      <c r="U276" s="41"/>
    </row>
    <row r="277" spans="1:21" ht="16" x14ac:dyDescent="0.2">
      <c r="A277" s="31"/>
      <c r="B277" s="26"/>
      <c r="C277" s="26"/>
      <c r="D277" s="4" t="s">
        <v>9</v>
      </c>
      <c r="E277" s="2">
        <v>88.840969999999999</v>
      </c>
      <c r="F277" s="28"/>
      <c r="G277" s="38"/>
      <c r="H277" s="2">
        <v>32.59252</v>
      </c>
      <c r="I277" s="28"/>
      <c r="J277" s="38"/>
      <c r="L277" s="31"/>
      <c r="M277" s="33"/>
      <c r="N277" s="26"/>
      <c r="O277" s="5" t="s">
        <v>9</v>
      </c>
      <c r="P277" s="2">
        <v>134.16755999999998</v>
      </c>
      <c r="Q277" s="28"/>
      <c r="R277" s="38"/>
      <c r="S277" s="1">
        <v>38.322310000000002</v>
      </c>
      <c r="T277" s="31"/>
      <c r="U277" s="41"/>
    </row>
    <row r="278" spans="1:21" ht="16" x14ac:dyDescent="0.2">
      <c r="A278" s="31"/>
      <c r="B278" s="26"/>
      <c r="C278" s="26"/>
      <c r="D278" s="4" t="s">
        <v>10</v>
      </c>
      <c r="E278" s="2">
        <v>85.385640000000009</v>
      </c>
      <c r="F278" s="28"/>
      <c r="G278" s="38"/>
      <c r="H278" s="2">
        <v>33.227939999999997</v>
      </c>
      <c r="I278" s="28"/>
      <c r="J278" s="38"/>
      <c r="L278" s="31"/>
      <c r="M278" s="33"/>
      <c r="N278" s="26"/>
      <c r="O278" s="5" t="s">
        <v>10</v>
      </c>
      <c r="P278" s="2">
        <v>86.794920000000005</v>
      </c>
      <c r="Q278" s="28"/>
      <c r="R278" s="38"/>
      <c r="S278" s="1">
        <v>33.934080000000002</v>
      </c>
      <c r="T278" s="31"/>
      <c r="U278" s="41"/>
    </row>
    <row r="279" spans="1:21" ht="16" x14ac:dyDescent="0.2">
      <c r="A279" s="31"/>
      <c r="B279" s="26"/>
      <c r="C279" s="26"/>
      <c r="D279" s="4" t="s">
        <v>11</v>
      </c>
      <c r="E279" s="2">
        <v>92.007159999999999</v>
      </c>
      <c r="F279" s="29"/>
      <c r="G279" s="39"/>
      <c r="H279" s="2">
        <v>35.164580000000001</v>
      </c>
      <c r="I279" s="29"/>
      <c r="J279" s="39"/>
      <c r="L279" s="31"/>
      <c r="M279" s="33"/>
      <c r="N279" s="26"/>
      <c r="O279" s="5" t="s">
        <v>11</v>
      </c>
      <c r="P279" s="2">
        <v>166.27850999999998</v>
      </c>
      <c r="Q279" s="29"/>
      <c r="R279" s="39"/>
      <c r="S279" s="1">
        <v>30.739720000000002</v>
      </c>
      <c r="T279" s="32"/>
      <c r="U279" s="42"/>
    </row>
    <row r="280" spans="1:21" ht="16" x14ac:dyDescent="0.2">
      <c r="A280" s="31"/>
      <c r="B280" s="26">
        <v>3</v>
      </c>
      <c r="C280" s="26">
        <v>1</v>
      </c>
      <c r="D280" s="4" t="s">
        <v>7</v>
      </c>
      <c r="E280" s="2">
        <v>79.220039999999997</v>
      </c>
      <c r="F280" s="27">
        <f t="shared" ref="F280" si="244">AVERAGE(E280:E284)</f>
        <v>90.434705999999991</v>
      </c>
      <c r="G280" s="37">
        <f>AVERAGE(F280:F304)</f>
        <v>88.950896799999981</v>
      </c>
      <c r="H280" s="2">
        <v>35.464750000000002</v>
      </c>
      <c r="I280" s="27">
        <f t="shared" ref="I280" si="245">AVERAGE(H280:H284)</f>
        <v>38.288753999999997</v>
      </c>
      <c r="J280" s="37">
        <f t="shared" ref="J280" si="246">AVERAGE(I280:I304)</f>
        <v>38.233858400000003</v>
      </c>
      <c r="L280" s="31"/>
      <c r="M280" s="33">
        <v>3</v>
      </c>
      <c r="N280" s="26">
        <v>1</v>
      </c>
      <c r="O280" s="5" t="s">
        <v>7</v>
      </c>
      <c r="P280" s="2">
        <v>86.874459999999999</v>
      </c>
      <c r="Q280" s="27">
        <f t="shared" ref="Q280" si="247">AVERAGE(P280:P284)</f>
        <v>102.85603399999999</v>
      </c>
      <c r="R280" s="37">
        <f t="shared" ref="R280" si="248">AVERAGE(Q280:Q304)</f>
        <v>130.99968199999998</v>
      </c>
      <c r="S280" s="1">
        <v>33.074449999999999</v>
      </c>
      <c r="T280" s="30">
        <f t="shared" ref="T280" si="249">AVERAGE(S280:S284)</f>
        <v>32.387002000000003</v>
      </c>
      <c r="U280" s="40">
        <f t="shared" ref="U280" si="250">AVERAGE(T280:T304)</f>
        <v>30.567268000000002</v>
      </c>
    </row>
    <row r="281" spans="1:21" ht="16" x14ac:dyDescent="0.2">
      <c r="A281" s="31"/>
      <c r="B281" s="26"/>
      <c r="C281" s="26"/>
      <c r="D281" s="4" t="s">
        <v>8</v>
      </c>
      <c r="E281" s="2">
        <v>108.74126</v>
      </c>
      <c r="F281" s="28"/>
      <c r="G281" s="38"/>
      <c r="H281" s="2">
        <v>35.072969999999998</v>
      </c>
      <c r="I281" s="28"/>
      <c r="J281" s="38"/>
      <c r="L281" s="31"/>
      <c r="M281" s="33"/>
      <c r="N281" s="26"/>
      <c r="O281" s="5" t="s">
        <v>8</v>
      </c>
      <c r="P281" s="2">
        <v>89.71472</v>
      </c>
      <c r="Q281" s="28"/>
      <c r="R281" s="38"/>
      <c r="S281" s="1">
        <v>29.864450000000001</v>
      </c>
      <c r="T281" s="31"/>
      <c r="U281" s="41"/>
    </row>
    <row r="282" spans="1:21" ht="16" x14ac:dyDescent="0.2">
      <c r="A282" s="31"/>
      <c r="B282" s="26"/>
      <c r="C282" s="26"/>
      <c r="D282" s="4" t="s">
        <v>9</v>
      </c>
      <c r="E282" s="2">
        <v>101.41352000000001</v>
      </c>
      <c r="F282" s="28"/>
      <c r="G282" s="38"/>
      <c r="H282" s="2">
        <v>40.031939999999999</v>
      </c>
      <c r="I282" s="28"/>
      <c r="J282" s="38"/>
      <c r="L282" s="31"/>
      <c r="M282" s="33"/>
      <c r="N282" s="26"/>
      <c r="O282" s="5" t="s">
        <v>9</v>
      </c>
      <c r="P282" s="2">
        <v>84.167559999999995</v>
      </c>
      <c r="Q282" s="28"/>
      <c r="R282" s="38"/>
      <c r="S282" s="1">
        <v>34.322310000000002</v>
      </c>
      <c r="T282" s="31"/>
      <c r="U282" s="41"/>
    </row>
    <row r="283" spans="1:21" ht="16" x14ac:dyDescent="0.2">
      <c r="A283" s="31"/>
      <c r="B283" s="26"/>
      <c r="C283" s="26"/>
      <c r="D283" s="4" t="s">
        <v>10</v>
      </c>
      <c r="E283" s="2">
        <v>75.307640000000006</v>
      </c>
      <c r="F283" s="28"/>
      <c r="G283" s="38"/>
      <c r="H283" s="2">
        <v>40.844409999999996</v>
      </c>
      <c r="I283" s="28"/>
      <c r="J283" s="38"/>
      <c r="L283" s="31"/>
      <c r="M283" s="33"/>
      <c r="N283" s="26"/>
      <c r="O283" s="5" t="s">
        <v>10</v>
      </c>
      <c r="P283" s="2">
        <v>86.794920000000005</v>
      </c>
      <c r="Q283" s="28"/>
      <c r="R283" s="38"/>
      <c r="S283" s="1">
        <v>33.934080000000002</v>
      </c>
      <c r="T283" s="31"/>
      <c r="U283" s="41"/>
    </row>
    <row r="284" spans="1:21" ht="16" x14ac:dyDescent="0.2">
      <c r="A284" s="31"/>
      <c r="B284" s="26"/>
      <c r="C284" s="26"/>
      <c r="D284" s="4" t="s">
        <v>11</v>
      </c>
      <c r="E284" s="2">
        <v>87.491069999999993</v>
      </c>
      <c r="F284" s="29"/>
      <c r="G284" s="38"/>
      <c r="H284" s="2">
        <v>40.029699999999998</v>
      </c>
      <c r="I284" s="29"/>
      <c r="J284" s="38"/>
      <c r="L284" s="31"/>
      <c r="M284" s="33"/>
      <c r="N284" s="26"/>
      <c r="O284" s="5" t="s">
        <v>11</v>
      </c>
      <c r="P284" s="2">
        <v>166.72851</v>
      </c>
      <c r="Q284" s="29"/>
      <c r="R284" s="38"/>
      <c r="S284" s="1">
        <v>30.739720000000002</v>
      </c>
      <c r="T284" s="32"/>
      <c r="U284" s="41"/>
    </row>
    <row r="285" spans="1:21" ht="16" x14ac:dyDescent="0.2">
      <c r="A285" s="31"/>
      <c r="B285" s="26"/>
      <c r="C285" s="26">
        <v>2</v>
      </c>
      <c r="D285" s="4" t="s">
        <v>7</v>
      </c>
      <c r="E285" s="2">
        <v>103.61421</v>
      </c>
      <c r="F285" s="27">
        <f t="shared" ref="F285" si="251">AVERAGE(E285:E289)</f>
        <v>92.26824400000001</v>
      </c>
      <c r="G285" s="38"/>
      <c r="H285" s="2">
        <v>36.157310000000003</v>
      </c>
      <c r="I285" s="27">
        <f t="shared" ref="I285" si="252">AVERAGE(H285:H289)</f>
        <v>39.296852000000001</v>
      </c>
      <c r="J285" s="38"/>
      <c r="L285" s="31"/>
      <c r="M285" s="33"/>
      <c r="N285" s="26">
        <v>2</v>
      </c>
      <c r="O285" s="5" t="s">
        <v>7</v>
      </c>
      <c r="P285" s="2">
        <v>112.94174000000001</v>
      </c>
      <c r="Q285" s="27">
        <f t="shared" ref="Q285" si="253">AVERAGE(P285:P289)</f>
        <v>123.57757800000002</v>
      </c>
      <c r="R285" s="38"/>
      <c r="S285" s="1">
        <v>24.317159999999998</v>
      </c>
      <c r="T285" s="30">
        <f t="shared" ref="T285" si="254">AVERAGE(S285:S289)</f>
        <v>27.827074</v>
      </c>
      <c r="U285" s="41"/>
    </row>
    <row r="286" spans="1:21" ht="16" x14ac:dyDescent="0.2">
      <c r="A286" s="31"/>
      <c r="B286" s="26"/>
      <c r="C286" s="26"/>
      <c r="D286" s="4" t="s">
        <v>8</v>
      </c>
      <c r="E286" s="2">
        <v>70.333950000000002</v>
      </c>
      <c r="F286" s="28"/>
      <c r="G286" s="38"/>
      <c r="H286" s="2">
        <v>40.940349999999995</v>
      </c>
      <c r="I286" s="28"/>
      <c r="J286" s="38"/>
      <c r="L286" s="31"/>
      <c r="M286" s="33"/>
      <c r="N286" s="26"/>
      <c r="O286" s="5" t="s">
        <v>8</v>
      </c>
      <c r="P286" s="2">
        <v>108.11972</v>
      </c>
      <c r="Q286" s="28"/>
      <c r="R286" s="38"/>
      <c r="S286" s="1">
        <v>28.484369999999998</v>
      </c>
      <c r="T286" s="31"/>
      <c r="U286" s="41"/>
    </row>
    <row r="287" spans="1:21" ht="16" x14ac:dyDescent="0.2">
      <c r="A287" s="31"/>
      <c r="B287" s="26"/>
      <c r="C287" s="26"/>
      <c r="D287" s="4" t="s">
        <v>9</v>
      </c>
      <c r="E287" s="2">
        <v>76.242130000000003</v>
      </c>
      <c r="F287" s="28"/>
      <c r="G287" s="38"/>
      <c r="H287" s="2">
        <v>35.142049999999998</v>
      </c>
      <c r="I287" s="28"/>
      <c r="J287" s="38"/>
      <c r="L287" s="31"/>
      <c r="M287" s="33"/>
      <c r="N287" s="26"/>
      <c r="O287" s="5" t="s">
        <v>9</v>
      </c>
      <c r="P287" s="2">
        <v>128.66082</v>
      </c>
      <c r="Q287" s="28"/>
      <c r="R287" s="38"/>
      <c r="S287" s="1">
        <v>32.814349999999997</v>
      </c>
      <c r="T287" s="31"/>
      <c r="U287" s="41"/>
    </row>
    <row r="288" spans="1:21" ht="16" x14ac:dyDescent="0.2">
      <c r="A288" s="31"/>
      <c r="B288" s="26"/>
      <c r="C288" s="26"/>
      <c r="D288" s="4" t="s">
        <v>10</v>
      </c>
      <c r="E288" s="2">
        <v>77.772559999999999</v>
      </c>
      <c r="F288" s="28"/>
      <c r="G288" s="38"/>
      <c r="H288" s="2">
        <v>43.388130000000004</v>
      </c>
      <c r="I288" s="28"/>
      <c r="J288" s="38"/>
      <c r="L288" s="31"/>
      <c r="M288" s="33"/>
      <c r="N288" s="26"/>
      <c r="O288" s="5" t="s">
        <v>10</v>
      </c>
      <c r="P288" s="2">
        <v>149.46138000000002</v>
      </c>
      <c r="Q288" s="28"/>
      <c r="R288" s="38"/>
      <c r="S288" s="1">
        <v>26.508589999999998</v>
      </c>
      <c r="T288" s="31"/>
      <c r="U288" s="41"/>
    </row>
    <row r="289" spans="1:21" ht="16" x14ac:dyDescent="0.2">
      <c r="A289" s="31"/>
      <c r="B289" s="26"/>
      <c r="C289" s="26"/>
      <c r="D289" s="4" t="s">
        <v>11</v>
      </c>
      <c r="E289" s="2">
        <v>133.37836999999999</v>
      </c>
      <c r="F289" s="29"/>
      <c r="G289" s="38"/>
      <c r="H289" s="2">
        <v>40.85642</v>
      </c>
      <c r="I289" s="29"/>
      <c r="J289" s="38"/>
      <c r="L289" s="31"/>
      <c r="M289" s="33"/>
      <c r="N289" s="26"/>
      <c r="O289" s="5" t="s">
        <v>11</v>
      </c>
      <c r="P289" s="2">
        <v>118.70423000000001</v>
      </c>
      <c r="Q289" s="29"/>
      <c r="R289" s="38"/>
      <c r="S289" s="1">
        <v>27.010900000000003</v>
      </c>
      <c r="T289" s="32"/>
      <c r="U289" s="41"/>
    </row>
    <row r="290" spans="1:21" ht="16" x14ac:dyDescent="0.2">
      <c r="A290" s="31"/>
      <c r="B290" s="26"/>
      <c r="C290" s="26">
        <v>3</v>
      </c>
      <c r="D290" s="4" t="s">
        <v>7</v>
      </c>
      <c r="E290" s="2">
        <v>133.21030000000002</v>
      </c>
      <c r="F290" s="27">
        <f t="shared" ref="F290" si="255">AVERAGE(E290:E294)</f>
        <v>84.943224000000001</v>
      </c>
      <c r="G290" s="38"/>
      <c r="H290" s="2">
        <v>40.849050000000005</v>
      </c>
      <c r="I290" s="27">
        <f t="shared" ref="I290" si="256">AVERAGE(H290:H294)</f>
        <v>38.125802000000007</v>
      </c>
      <c r="J290" s="38"/>
      <c r="L290" s="31"/>
      <c r="M290" s="33"/>
      <c r="N290" s="26">
        <v>3</v>
      </c>
      <c r="O290" s="5" t="s">
        <v>7</v>
      </c>
      <c r="P290" s="2">
        <v>169.59704000000002</v>
      </c>
      <c r="Q290" s="27">
        <f t="shared" ref="Q290" si="257">AVERAGE(P290:P294)</f>
        <v>149.76514400000002</v>
      </c>
      <c r="R290" s="38"/>
      <c r="S290" s="1">
        <v>28.360869999999998</v>
      </c>
      <c r="T290" s="30">
        <f t="shared" ref="T290" si="258">AVERAGE(S290:S294)</f>
        <v>30.706667999999997</v>
      </c>
      <c r="U290" s="41"/>
    </row>
    <row r="291" spans="1:21" ht="16" x14ac:dyDescent="0.2">
      <c r="A291" s="31"/>
      <c r="B291" s="26"/>
      <c r="C291" s="26"/>
      <c r="D291" s="4" t="s">
        <v>8</v>
      </c>
      <c r="E291" s="2">
        <v>36.350430000000003</v>
      </c>
      <c r="F291" s="28"/>
      <c r="G291" s="38"/>
      <c r="H291" s="2">
        <v>34.24062</v>
      </c>
      <c r="I291" s="28"/>
      <c r="J291" s="38"/>
      <c r="L291" s="31"/>
      <c r="M291" s="33"/>
      <c r="N291" s="26"/>
      <c r="O291" s="5" t="s">
        <v>8</v>
      </c>
      <c r="P291" s="2">
        <v>119.53456</v>
      </c>
      <c r="Q291" s="28"/>
      <c r="R291" s="38"/>
      <c r="S291" s="1">
        <v>30.544619999999998</v>
      </c>
      <c r="T291" s="31"/>
      <c r="U291" s="41"/>
    </row>
    <row r="292" spans="1:21" ht="16" x14ac:dyDescent="0.2">
      <c r="A292" s="31"/>
      <c r="B292" s="26"/>
      <c r="C292" s="26"/>
      <c r="D292" s="4" t="s">
        <v>9</v>
      </c>
      <c r="E292" s="2">
        <v>114.27122</v>
      </c>
      <c r="F292" s="28"/>
      <c r="G292" s="38"/>
      <c r="H292" s="2">
        <v>38.168010000000002</v>
      </c>
      <c r="I292" s="28"/>
      <c r="J292" s="38"/>
      <c r="L292" s="31"/>
      <c r="M292" s="33"/>
      <c r="N292" s="26"/>
      <c r="O292" s="5" t="s">
        <v>9</v>
      </c>
      <c r="P292" s="2">
        <v>154.06356</v>
      </c>
      <c r="Q292" s="28"/>
      <c r="R292" s="38"/>
      <c r="S292" s="1">
        <v>32.820839999999997</v>
      </c>
      <c r="T292" s="31"/>
      <c r="U292" s="41"/>
    </row>
    <row r="293" spans="1:21" ht="16" x14ac:dyDescent="0.2">
      <c r="A293" s="31"/>
      <c r="B293" s="26"/>
      <c r="C293" s="26"/>
      <c r="D293" s="4" t="s">
        <v>10</v>
      </c>
      <c r="E293" s="2">
        <v>86.822000000000003</v>
      </c>
      <c r="F293" s="28"/>
      <c r="G293" s="38"/>
      <c r="H293" s="2">
        <v>42.051790000000004</v>
      </c>
      <c r="I293" s="28"/>
      <c r="J293" s="38"/>
      <c r="L293" s="31"/>
      <c r="M293" s="33"/>
      <c r="N293" s="26"/>
      <c r="O293" s="5" t="s">
        <v>10</v>
      </c>
      <c r="P293" s="2">
        <v>172.97333999999998</v>
      </c>
      <c r="Q293" s="28"/>
      <c r="R293" s="38"/>
      <c r="S293" s="1">
        <v>32.539639999999999</v>
      </c>
      <c r="T293" s="31"/>
      <c r="U293" s="41"/>
    </row>
    <row r="294" spans="1:21" ht="16" x14ac:dyDescent="0.2">
      <c r="A294" s="31"/>
      <c r="B294" s="26"/>
      <c r="C294" s="26"/>
      <c r="D294" s="4" t="s">
        <v>11</v>
      </c>
      <c r="E294" s="2">
        <v>54.062169999999995</v>
      </c>
      <c r="F294" s="29"/>
      <c r="G294" s="38"/>
      <c r="H294" s="2">
        <v>35.319540000000003</v>
      </c>
      <c r="I294" s="29"/>
      <c r="J294" s="38"/>
      <c r="L294" s="31"/>
      <c r="M294" s="33"/>
      <c r="N294" s="26"/>
      <c r="O294" s="5" t="s">
        <v>11</v>
      </c>
      <c r="P294" s="2">
        <v>132.65722</v>
      </c>
      <c r="Q294" s="29"/>
      <c r="R294" s="38"/>
      <c r="S294" s="1">
        <v>29.26737</v>
      </c>
      <c r="T294" s="32"/>
      <c r="U294" s="41"/>
    </row>
    <row r="295" spans="1:21" ht="16" x14ac:dyDescent="0.2">
      <c r="A295" s="31"/>
      <c r="B295" s="26"/>
      <c r="C295" s="26">
        <v>4</v>
      </c>
      <c r="D295" s="4" t="s">
        <v>7</v>
      </c>
      <c r="E295" s="2">
        <v>17.62771</v>
      </c>
      <c r="F295" s="27">
        <f t="shared" ref="F295" si="259">AVERAGE(E295:E299)</f>
        <v>92.19137600000002</v>
      </c>
      <c r="G295" s="38"/>
      <c r="H295" s="2">
        <v>40.97728</v>
      </c>
      <c r="I295" s="27">
        <f t="shared" ref="I295" si="260">AVERAGE(H295:H299)</f>
        <v>37.597022000000003</v>
      </c>
      <c r="J295" s="38"/>
      <c r="L295" s="31"/>
      <c r="M295" s="33"/>
      <c r="N295" s="26">
        <v>4</v>
      </c>
      <c r="O295" s="5" t="s">
        <v>7</v>
      </c>
      <c r="P295" s="2">
        <v>161.80123</v>
      </c>
      <c r="Q295" s="27">
        <f t="shared" ref="Q295" si="261">AVERAGE(P295:P299)</f>
        <v>138.101788</v>
      </c>
      <c r="R295" s="38"/>
      <c r="S295" s="1">
        <v>28.457330000000002</v>
      </c>
      <c r="T295" s="30">
        <f t="shared" ref="T295" si="262">AVERAGE(S295:S299)</f>
        <v>29.626426000000002</v>
      </c>
      <c r="U295" s="41"/>
    </row>
    <row r="296" spans="1:21" ht="16" x14ac:dyDescent="0.2">
      <c r="A296" s="31"/>
      <c r="B296" s="26"/>
      <c r="C296" s="26"/>
      <c r="D296" s="4" t="s">
        <v>8</v>
      </c>
      <c r="E296" s="2">
        <v>140.53752</v>
      </c>
      <c r="F296" s="28"/>
      <c r="G296" s="38"/>
      <c r="H296" s="2">
        <v>35.538600000000002</v>
      </c>
      <c r="I296" s="28"/>
      <c r="J296" s="38"/>
      <c r="L296" s="31"/>
      <c r="M296" s="33"/>
      <c r="N296" s="26"/>
      <c r="O296" s="5" t="s">
        <v>8</v>
      </c>
      <c r="P296" s="2">
        <v>105.29109</v>
      </c>
      <c r="Q296" s="28"/>
      <c r="R296" s="38"/>
      <c r="S296" s="1">
        <v>29.029170000000001</v>
      </c>
      <c r="T296" s="31"/>
      <c r="U296" s="41"/>
    </row>
    <row r="297" spans="1:21" ht="16" x14ac:dyDescent="0.2">
      <c r="A297" s="31"/>
      <c r="B297" s="26"/>
      <c r="C297" s="26"/>
      <c r="D297" s="4" t="s">
        <v>9</v>
      </c>
      <c r="E297" s="2">
        <v>59.137180000000001</v>
      </c>
      <c r="F297" s="28"/>
      <c r="G297" s="38"/>
      <c r="H297" s="2">
        <v>35.664099999999998</v>
      </c>
      <c r="I297" s="28"/>
      <c r="J297" s="38"/>
      <c r="L297" s="31"/>
      <c r="M297" s="33"/>
      <c r="N297" s="26"/>
      <c r="O297" s="5" t="s">
        <v>9</v>
      </c>
      <c r="P297" s="2">
        <v>154.11653000000001</v>
      </c>
      <c r="Q297" s="28"/>
      <c r="R297" s="38"/>
      <c r="S297" s="1">
        <v>29.181010000000001</v>
      </c>
      <c r="T297" s="31"/>
      <c r="U297" s="41"/>
    </row>
    <row r="298" spans="1:21" ht="16" x14ac:dyDescent="0.2">
      <c r="A298" s="31"/>
      <c r="B298" s="26"/>
      <c r="C298" s="26"/>
      <c r="D298" s="4" t="s">
        <v>10</v>
      </c>
      <c r="E298" s="2">
        <v>77.372510000000005</v>
      </c>
      <c r="F298" s="28"/>
      <c r="G298" s="38"/>
      <c r="H298" s="2">
        <v>34.779330000000002</v>
      </c>
      <c r="I298" s="28"/>
      <c r="J298" s="38"/>
      <c r="L298" s="31"/>
      <c r="M298" s="33"/>
      <c r="N298" s="26"/>
      <c r="O298" s="5" t="s">
        <v>10</v>
      </c>
      <c r="P298" s="2">
        <v>103.63385</v>
      </c>
      <c r="Q298" s="28"/>
      <c r="R298" s="38"/>
      <c r="S298" s="1">
        <v>31.560379999999999</v>
      </c>
      <c r="T298" s="31"/>
      <c r="U298" s="41"/>
    </row>
    <row r="299" spans="1:21" ht="16" x14ac:dyDescent="0.2">
      <c r="A299" s="31"/>
      <c r="B299" s="26"/>
      <c r="C299" s="26"/>
      <c r="D299" s="4" t="s">
        <v>11</v>
      </c>
      <c r="E299" s="2">
        <v>166.28196</v>
      </c>
      <c r="F299" s="29"/>
      <c r="G299" s="38"/>
      <c r="H299" s="2">
        <v>41.025799999999997</v>
      </c>
      <c r="I299" s="29"/>
      <c r="J299" s="38"/>
      <c r="L299" s="31"/>
      <c r="M299" s="33"/>
      <c r="N299" s="26"/>
      <c r="O299" s="5" t="s">
        <v>11</v>
      </c>
      <c r="P299" s="2">
        <v>165.66623999999999</v>
      </c>
      <c r="Q299" s="29"/>
      <c r="R299" s="38"/>
      <c r="S299" s="1">
        <v>29.904240000000001</v>
      </c>
      <c r="T299" s="32"/>
      <c r="U299" s="41"/>
    </row>
    <row r="300" spans="1:21" ht="16" x14ac:dyDescent="0.2">
      <c r="A300" s="31"/>
      <c r="B300" s="26"/>
      <c r="C300" s="26">
        <v>5</v>
      </c>
      <c r="D300" s="4" t="s">
        <v>7</v>
      </c>
      <c r="E300" s="2">
        <v>147.45054999999999</v>
      </c>
      <c r="F300" s="27">
        <f t="shared" ref="F300" si="263">AVERAGE(E300:E304)</f>
        <v>84.916933999999998</v>
      </c>
      <c r="G300" s="38"/>
      <c r="H300" s="2">
        <v>38.981930000000006</v>
      </c>
      <c r="I300" s="27">
        <f t="shared" ref="I300" si="264">AVERAGE(H300:H304)</f>
        <v>37.860861999999997</v>
      </c>
      <c r="J300" s="38"/>
      <c r="L300" s="31"/>
      <c r="M300" s="33"/>
      <c r="N300" s="26">
        <v>5</v>
      </c>
      <c r="O300" s="5" t="s">
        <v>7</v>
      </c>
      <c r="P300" s="2">
        <v>190.43136999999999</v>
      </c>
      <c r="Q300" s="27">
        <f t="shared" ref="Q300" si="265">AVERAGE(P300:P304)</f>
        <v>140.697866</v>
      </c>
      <c r="R300" s="38"/>
      <c r="S300" s="1">
        <v>41.555889999999998</v>
      </c>
      <c r="T300" s="30">
        <f t="shared" ref="T300" si="266">AVERAGE(S300:S304)</f>
        <v>32.289169999999999</v>
      </c>
      <c r="U300" s="41"/>
    </row>
    <row r="301" spans="1:21" ht="16" x14ac:dyDescent="0.2">
      <c r="A301" s="31"/>
      <c r="B301" s="26"/>
      <c r="C301" s="26"/>
      <c r="D301" s="4" t="s">
        <v>8</v>
      </c>
      <c r="E301" s="2">
        <v>79.686109999999999</v>
      </c>
      <c r="F301" s="28"/>
      <c r="G301" s="38"/>
      <c r="H301" s="2">
        <v>34.071170000000002</v>
      </c>
      <c r="I301" s="28"/>
      <c r="J301" s="38"/>
      <c r="L301" s="31"/>
      <c r="M301" s="33"/>
      <c r="N301" s="26"/>
      <c r="O301" s="5" t="s">
        <v>8</v>
      </c>
      <c r="P301" s="2">
        <v>114.62667999999999</v>
      </c>
      <c r="Q301" s="28"/>
      <c r="R301" s="38"/>
      <c r="S301" s="1">
        <v>27.497810000000001</v>
      </c>
      <c r="T301" s="31"/>
      <c r="U301" s="41"/>
    </row>
    <row r="302" spans="1:21" ht="16" x14ac:dyDescent="0.2">
      <c r="A302" s="31"/>
      <c r="B302" s="26"/>
      <c r="C302" s="26"/>
      <c r="D302" s="4" t="s">
        <v>9</v>
      </c>
      <c r="E302" s="2">
        <v>71.008870000000002</v>
      </c>
      <c r="F302" s="28"/>
      <c r="G302" s="38"/>
      <c r="H302" s="2">
        <v>39.031039999999997</v>
      </c>
      <c r="I302" s="28"/>
      <c r="J302" s="38"/>
      <c r="L302" s="31"/>
      <c r="M302" s="33"/>
      <c r="N302" s="26"/>
      <c r="O302" s="5" t="s">
        <v>9</v>
      </c>
      <c r="P302" s="2">
        <v>160.95913000000002</v>
      </c>
      <c r="Q302" s="28"/>
      <c r="R302" s="38"/>
      <c r="S302" s="1">
        <v>26.453020000000002</v>
      </c>
      <c r="T302" s="31"/>
      <c r="U302" s="41"/>
    </row>
    <row r="303" spans="1:21" ht="16" x14ac:dyDescent="0.2">
      <c r="A303" s="31"/>
      <c r="B303" s="26"/>
      <c r="C303" s="26"/>
      <c r="D303" s="4" t="s">
        <v>10</v>
      </c>
      <c r="E303" s="2">
        <v>14.9246</v>
      </c>
      <c r="F303" s="28"/>
      <c r="G303" s="38"/>
      <c r="H303" s="2">
        <v>36.543550000000003</v>
      </c>
      <c r="I303" s="28"/>
      <c r="J303" s="38"/>
      <c r="L303" s="31"/>
      <c r="M303" s="33"/>
      <c r="N303" s="26"/>
      <c r="O303" s="5" t="s">
        <v>10</v>
      </c>
      <c r="P303" s="2">
        <v>101.63472</v>
      </c>
      <c r="Q303" s="28"/>
      <c r="R303" s="38"/>
      <c r="S303" s="1">
        <v>32.936770000000003</v>
      </c>
      <c r="T303" s="31"/>
      <c r="U303" s="41"/>
    </row>
    <row r="304" spans="1:21" ht="16" x14ac:dyDescent="0.2">
      <c r="A304" s="32"/>
      <c r="B304" s="26"/>
      <c r="C304" s="26"/>
      <c r="D304" s="4" t="s">
        <v>11</v>
      </c>
      <c r="E304" s="2">
        <v>111.51454</v>
      </c>
      <c r="F304" s="29"/>
      <c r="G304" s="39"/>
      <c r="H304" s="2">
        <v>40.67662</v>
      </c>
      <c r="I304" s="29"/>
      <c r="J304" s="39"/>
      <c r="L304" s="32"/>
      <c r="M304" s="33"/>
      <c r="N304" s="26"/>
      <c r="O304" s="5" t="s">
        <v>11</v>
      </c>
      <c r="P304" s="2">
        <v>135.83743000000001</v>
      </c>
      <c r="Q304" s="29"/>
      <c r="R304" s="39"/>
      <c r="S304" s="1">
        <v>33.002359999999996</v>
      </c>
      <c r="T304" s="32"/>
      <c r="U304" s="42"/>
    </row>
    <row r="305" spans="1:21" ht="16" x14ac:dyDescent="0.2">
      <c r="A305" s="30" t="s">
        <v>4</v>
      </c>
      <c r="B305" s="33">
        <v>1</v>
      </c>
      <c r="C305" s="26">
        <v>1</v>
      </c>
      <c r="D305" s="4" t="s">
        <v>7</v>
      </c>
      <c r="E305" s="2">
        <v>125.44544999999999</v>
      </c>
      <c r="F305" s="27">
        <f t="shared" ref="F305" si="267">AVERAGE(E305:E309)</f>
        <v>95.039354000000003</v>
      </c>
      <c r="G305" s="37">
        <f>AVERAGE(F305:F329)</f>
        <v>104.37929119999998</v>
      </c>
      <c r="H305" s="2">
        <v>34.35492</v>
      </c>
      <c r="I305" s="27">
        <f t="shared" ref="I305" si="268">AVERAGE(H305:H309)</f>
        <v>25.383850000000002</v>
      </c>
      <c r="J305" s="37">
        <f t="shared" ref="J305" si="269">AVERAGE(I305:I329)</f>
        <v>24.184941200000001</v>
      </c>
      <c r="L305" s="30" t="s">
        <v>21</v>
      </c>
      <c r="M305" s="33">
        <v>1</v>
      </c>
      <c r="N305" s="26">
        <v>1</v>
      </c>
      <c r="O305" s="5" t="s">
        <v>7</v>
      </c>
      <c r="P305" s="2">
        <v>67.815539999999999</v>
      </c>
      <c r="Q305" s="27">
        <f t="shared" ref="Q305" si="270">AVERAGE(P305:P309)</f>
        <v>62.397604000000001</v>
      </c>
      <c r="R305" s="37">
        <f t="shared" ref="R305" si="271">AVERAGE(Q305:Q329)</f>
        <v>110.05703920000001</v>
      </c>
      <c r="S305" s="1">
        <v>26.778859999999998</v>
      </c>
      <c r="T305" s="30">
        <f t="shared" ref="T305" si="272">AVERAGE(S305:S309)</f>
        <v>24.035429999999998</v>
      </c>
      <c r="U305" s="40">
        <f t="shared" ref="U305" si="273">AVERAGE(T305:T329)</f>
        <v>24.391362000000004</v>
      </c>
    </row>
    <row r="306" spans="1:21" ht="16" x14ac:dyDescent="0.2">
      <c r="A306" s="31"/>
      <c r="B306" s="33"/>
      <c r="C306" s="26"/>
      <c r="D306" s="4" t="s">
        <v>8</v>
      </c>
      <c r="E306" s="2">
        <v>101.98679</v>
      </c>
      <c r="F306" s="28"/>
      <c r="G306" s="38"/>
      <c r="H306" s="2">
        <v>18.823910000000001</v>
      </c>
      <c r="I306" s="28"/>
      <c r="J306" s="38"/>
      <c r="L306" s="31"/>
      <c r="M306" s="33"/>
      <c r="N306" s="26"/>
      <c r="O306" s="5" t="s">
        <v>8</v>
      </c>
      <c r="P306" s="2">
        <v>61.022449999999999</v>
      </c>
      <c r="Q306" s="28"/>
      <c r="R306" s="38"/>
      <c r="S306" s="1">
        <v>19.677329999999998</v>
      </c>
      <c r="T306" s="31"/>
      <c r="U306" s="41"/>
    </row>
    <row r="307" spans="1:21" ht="16" x14ac:dyDescent="0.2">
      <c r="A307" s="31"/>
      <c r="B307" s="33"/>
      <c r="C307" s="26"/>
      <c r="D307" s="4" t="s">
        <v>9</v>
      </c>
      <c r="E307" s="2">
        <v>97.945419999999999</v>
      </c>
      <c r="F307" s="28"/>
      <c r="G307" s="38"/>
      <c r="H307" s="2">
        <v>38.199179999999998</v>
      </c>
      <c r="I307" s="28"/>
      <c r="J307" s="38"/>
      <c r="L307" s="31"/>
      <c r="M307" s="33"/>
      <c r="N307" s="26"/>
      <c r="O307" s="5" t="s">
        <v>9</v>
      </c>
      <c r="P307" s="2">
        <v>53.05941</v>
      </c>
      <c r="Q307" s="28"/>
      <c r="R307" s="38"/>
      <c r="S307" s="1">
        <v>24.779330000000002</v>
      </c>
      <c r="T307" s="31"/>
      <c r="U307" s="41"/>
    </row>
    <row r="308" spans="1:21" ht="16" x14ac:dyDescent="0.2">
      <c r="A308" s="31"/>
      <c r="B308" s="33"/>
      <c r="C308" s="26"/>
      <c r="D308" s="4" t="s">
        <v>10</v>
      </c>
      <c r="E308" s="2">
        <v>71.545060000000007</v>
      </c>
      <c r="F308" s="28"/>
      <c r="G308" s="38"/>
      <c r="H308" s="2">
        <v>20.155390000000001</v>
      </c>
      <c r="I308" s="28"/>
      <c r="J308" s="38"/>
      <c r="L308" s="31"/>
      <c r="M308" s="33"/>
      <c r="N308" s="26"/>
      <c r="O308" s="5" t="s">
        <v>10</v>
      </c>
      <c r="P308" s="2">
        <v>52.297449999999998</v>
      </c>
      <c r="Q308" s="28"/>
      <c r="R308" s="38"/>
      <c r="S308" s="1">
        <v>21.465169999999997</v>
      </c>
      <c r="T308" s="31"/>
      <c r="U308" s="41"/>
    </row>
    <row r="309" spans="1:21" ht="16" x14ac:dyDescent="0.2">
      <c r="A309" s="31"/>
      <c r="B309" s="33"/>
      <c r="C309" s="26"/>
      <c r="D309" s="4" t="s">
        <v>11</v>
      </c>
      <c r="E309" s="2">
        <v>78.274050000000003</v>
      </c>
      <c r="F309" s="29"/>
      <c r="G309" s="38"/>
      <c r="H309" s="2">
        <v>15.38585</v>
      </c>
      <c r="I309" s="29"/>
      <c r="J309" s="38"/>
      <c r="L309" s="31"/>
      <c r="M309" s="33"/>
      <c r="N309" s="26"/>
      <c r="O309" s="5" t="s">
        <v>11</v>
      </c>
      <c r="P309" s="2">
        <v>77.793170000000003</v>
      </c>
      <c r="Q309" s="29"/>
      <c r="R309" s="38"/>
      <c r="S309" s="1">
        <v>27.476460000000003</v>
      </c>
      <c r="T309" s="32"/>
      <c r="U309" s="41"/>
    </row>
    <row r="310" spans="1:21" ht="16" x14ac:dyDescent="0.2">
      <c r="A310" s="31"/>
      <c r="B310" s="33"/>
      <c r="C310" s="26">
        <v>2</v>
      </c>
      <c r="D310" s="4" t="s">
        <v>7</v>
      </c>
      <c r="E310" s="2">
        <v>85.605139999999992</v>
      </c>
      <c r="F310" s="27">
        <f t="shared" ref="F310" si="274">AVERAGE(E310:E314)</f>
        <v>98.29513799999998</v>
      </c>
      <c r="G310" s="38"/>
      <c r="H310" s="2">
        <v>21.211439999999996</v>
      </c>
      <c r="I310" s="27">
        <f t="shared" ref="I310" si="275">AVERAGE(H310:H314)</f>
        <v>23.400913999999997</v>
      </c>
      <c r="J310" s="38"/>
      <c r="L310" s="31"/>
      <c r="M310" s="33"/>
      <c r="N310" s="26">
        <v>2</v>
      </c>
      <c r="O310" s="5" t="s">
        <v>7</v>
      </c>
      <c r="P310" s="2">
        <v>145.67616000000001</v>
      </c>
      <c r="Q310" s="27">
        <f t="shared" ref="Q310" si="276">AVERAGE(P310:P314)</f>
        <v>140.689874</v>
      </c>
      <c r="R310" s="38"/>
      <c r="S310" s="1">
        <v>21.176210000000001</v>
      </c>
      <c r="T310" s="30">
        <f t="shared" ref="T310" si="277">AVERAGE(S310:S314)</f>
        <v>23.556180000000001</v>
      </c>
      <c r="U310" s="41"/>
    </row>
    <row r="311" spans="1:21" ht="16" x14ac:dyDescent="0.2">
      <c r="A311" s="31"/>
      <c r="B311" s="33"/>
      <c r="C311" s="26"/>
      <c r="D311" s="4" t="s">
        <v>8</v>
      </c>
      <c r="E311" s="2">
        <v>87.348089999999999</v>
      </c>
      <c r="F311" s="28"/>
      <c r="G311" s="38"/>
      <c r="H311" s="2">
        <v>18.167819999999999</v>
      </c>
      <c r="I311" s="28"/>
      <c r="J311" s="38"/>
      <c r="L311" s="31"/>
      <c r="M311" s="33"/>
      <c r="N311" s="26"/>
      <c r="O311" s="5" t="s">
        <v>8</v>
      </c>
      <c r="P311" s="2">
        <v>144.96831</v>
      </c>
      <c r="Q311" s="28"/>
      <c r="R311" s="38"/>
      <c r="S311" s="1">
        <v>20.531640000000003</v>
      </c>
      <c r="T311" s="31"/>
      <c r="U311" s="41"/>
    </row>
    <row r="312" spans="1:21" ht="16" x14ac:dyDescent="0.2">
      <c r="A312" s="31"/>
      <c r="B312" s="33"/>
      <c r="C312" s="26"/>
      <c r="D312" s="4" t="s">
        <v>9</v>
      </c>
      <c r="E312" s="2">
        <v>110.44972</v>
      </c>
      <c r="F312" s="28"/>
      <c r="G312" s="38"/>
      <c r="H312" s="2">
        <v>29.38128</v>
      </c>
      <c r="I312" s="28"/>
      <c r="J312" s="38"/>
      <c r="L312" s="31"/>
      <c r="M312" s="33"/>
      <c r="N312" s="26"/>
      <c r="O312" s="5" t="s">
        <v>9</v>
      </c>
      <c r="P312" s="2">
        <v>148.29517999999999</v>
      </c>
      <c r="Q312" s="28"/>
      <c r="R312" s="38"/>
      <c r="S312" s="1">
        <v>24.26511</v>
      </c>
      <c r="T312" s="31"/>
      <c r="U312" s="41"/>
    </row>
    <row r="313" spans="1:21" ht="16" x14ac:dyDescent="0.2">
      <c r="A313" s="31"/>
      <c r="B313" s="33"/>
      <c r="C313" s="26"/>
      <c r="D313" s="4" t="s">
        <v>10</v>
      </c>
      <c r="E313" s="2">
        <v>122.65678</v>
      </c>
      <c r="F313" s="28"/>
      <c r="G313" s="38"/>
      <c r="H313" s="2">
        <v>21.465169999999997</v>
      </c>
      <c r="I313" s="28"/>
      <c r="J313" s="38"/>
      <c r="L313" s="31"/>
      <c r="M313" s="33"/>
      <c r="N313" s="26"/>
      <c r="O313" s="5" t="s">
        <v>10</v>
      </c>
      <c r="P313" s="2">
        <v>147.92079999999999</v>
      </c>
      <c r="Q313" s="28"/>
      <c r="R313" s="38"/>
      <c r="S313" s="1">
        <v>30.54073</v>
      </c>
      <c r="T313" s="31"/>
      <c r="U313" s="41"/>
    </row>
    <row r="314" spans="1:21" ht="16" x14ac:dyDescent="0.2">
      <c r="A314" s="31"/>
      <c r="B314" s="33"/>
      <c r="C314" s="26"/>
      <c r="D314" s="4" t="s">
        <v>11</v>
      </c>
      <c r="E314" s="2">
        <v>85.415959999999998</v>
      </c>
      <c r="F314" s="29"/>
      <c r="G314" s="38"/>
      <c r="H314" s="2">
        <v>26.778859999999998</v>
      </c>
      <c r="I314" s="29"/>
      <c r="J314" s="38"/>
      <c r="L314" s="31"/>
      <c r="M314" s="33"/>
      <c r="N314" s="26"/>
      <c r="O314" s="5" t="s">
        <v>11</v>
      </c>
      <c r="P314" s="2">
        <v>116.58892</v>
      </c>
      <c r="Q314" s="29"/>
      <c r="R314" s="38"/>
      <c r="S314" s="1">
        <v>21.267209999999999</v>
      </c>
      <c r="T314" s="32"/>
      <c r="U314" s="41"/>
    </row>
    <row r="315" spans="1:21" ht="16" x14ac:dyDescent="0.2">
      <c r="A315" s="31"/>
      <c r="B315" s="33"/>
      <c r="C315" s="26">
        <v>3</v>
      </c>
      <c r="D315" s="4" t="s">
        <v>7</v>
      </c>
      <c r="E315" s="2">
        <v>108.68620000000001</v>
      </c>
      <c r="F315" s="27">
        <f t="shared" ref="F315" si="278">AVERAGE(E315:E319)</f>
        <v>105.43432600000001</v>
      </c>
      <c r="G315" s="38"/>
      <c r="H315" s="2">
        <v>21.977959999999999</v>
      </c>
      <c r="I315" s="27">
        <f t="shared" ref="I315" si="279">AVERAGE(H315:H319)</f>
        <v>22.665188000000001</v>
      </c>
      <c r="J315" s="38"/>
      <c r="L315" s="31"/>
      <c r="M315" s="33"/>
      <c r="N315" s="26">
        <v>3</v>
      </c>
      <c r="O315" s="5" t="s">
        <v>7</v>
      </c>
      <c r="P315" s="2">
        <v>95.921229999999994</v>
      </c>
      <c r="Q315" s="27">
        <f t="shared" ref="Q315" si="280">AVERAGE(P315:P319)</f>
        <v>102.71001799999999</v>
      </c>
      <c r="R315" s="38"/>
      <c r="S315" s="1">
        <v>21.267209999999999</v>
      </c>
      <c r="T315" s="30">
        <f t="shared" ref="T315" si="281">AVERAGE(S315:S319)</f>
        <v>25.356895999999999</v>
      </c>
      <c r="U315" s="41"/>
    </row>
    <row r="316" spans="1:21" ht="16" x14ac:dyDescent="0.2">
      <c r="A316" s="31"/>
      <c r="B316" s="33"/>
      <c r="C316" s="26"/>
      <c r="D316" s="4" t="s">
        <v>8</v>
      </c>
      <c r="E316" s="2">
        <v>129.50944999999999</v>
      </c>
      <c r="F316" s="28"/>
      <c r="G316" s="38"/>
      <c r="H316" s="2">
        <v>29.128890000000002</v>
      </c>
      <c r="I316" s="28"/>
      <c r="J316" s="38"/>
      <c r="L316" s="31"/>
      <c r="M316" s="33"/>
      <c r="N316" s="26"/>
      <c r="O316" s="5" t="s">
        <v>8</v>
      </c>
      <c r="P316" s="2">
        <v>96.204959999999986</v>
      </c>
      <c r="Q316" s="28"/>
      <c r="R316" s="38"/>
      <c r="S316" s="1">
        <v>27.59357</v>
      </c>
      <c r="T316" s="31"/>
      <c r="U316" s="41"/>
    </row>
    <row r="317" spans="1:21" ht="16" x14ac:dyDescent="0.2">
      <c r="A317" s="31"/>
      <c r="B317" s="33"/>
      <c r="C317" s="26"/>
      <c r="D317" s="4" t="s">
        <v>9</v>
      </c>
      <c r="E317" s="2">
        <v>79.295360000000002</v>
      </c>
      <c r="F317" s="28"/>
      <c r="G317" s="38"/>
      <c r="H317" s="2">
        <v>25.207319999999999</v>
      </c>
      <c r="I317" s="28"/>
      <c r="J317" s="38"/>
      <c r="L317" s="31"/>
      <c r="M317" s="33"/>
      <c r="N317" s="26"/>
      <c r="O317" s="5" t="s">
        <v>9</v>
      </c>
      <c r="P317" s="2">
        <v>141.15783999999999</v>
      </c>
      <c r="Q317" s="28"/>
      <c r="R317" s="38"/>
      <c r="S317" s="1">
        <v>27.38335</v>
      </c>
      <c r="T317" s="31"/>
      <c r="U317" s="41"/>
    </row>
    <row r="318" spans="1:21" ht="16" x14ac:dyDescent="0.2">
      <c r="A318" s="31"/>
      <c r="B318" s="33"/>
      <c r="C318" s="26"/>
      <c r="D318" s="4" t="s">
        <v>10</v>
      </c>
      <c r="E318" s="2">
        <v>86.097360000000009</v>
      </c>
      <c r="F318" s="28"/>
      <c r="G318" s="38"/>
      <c r="H318" s="2">
        <v>18.02984</v>
      </c>
      <c r="I318" s="28"/>
      <c r="J318" s="38"/>
      <c r="L318" s="31"/>
      <c r="M318" s="33"/>
      <c r="N318" s="26"/>
      <c r="O318" s="5" t="s">
        <v>10</v>
      </c>
      <c r="P318" s="2">
        <v>90.423009999999991</v>
      </c>
      <c r="Q318" s="28"/>
      <c r="R318" s="38"/>
      <c r="S318" s="1">
        <v>29.52449</v>
      </c>
      <c r="T318" s="31"/>
      <c r="U318" s="41"/>
    </row>
    <row r="319" spans="1:21" ht="16" x14ac:dyDescent="0.2">
      <c r="A319" s="31"/>
      <c r="B319" s="33"/>
      <c r="C319" s="26"/>
      <c r="D319" s="4" t="s">
        <v>11</v>
      </c>
      <c r="E319" s="2">
        <v>123.58326</v>
      </c>
      <c r="F319" s="29"/>
      <c r="G319" s="38"/>
      <c r="H319" s="2">
        <v>18.981929999999998</v>
      </c>
      <c r="I319" s="29"/>
      <c r="J319" s="38"/>
      <c r="L319" s="31"/>
      <c r="M319" s="33"/>
      <c r="N319" s="26"/>
      <c r="O319" s="5" t="s">
        <v>11</v>
      </c>
      <c r="P319" s="2">
        <v>89.843050000000005</v>
      </c>
      <c r="Q319" s="29"/>
      <c r="R319" s="38"/>
      <c r="S319" s="1">
        <v>21.015859999999996</v>
      </c>
      <c r="T319" s="32"/>
      <c r="U319" s="41"/>
    </row>
    <row r="320" spans="1:21" ht="16" x14ac:dyDescent="0.2">
      <c r="A320" s="31"/>
      <c r="B320" s="33"/>
      <c r="C320" s="26">
        <v>4</v>
      </c>
      <c r="D320" s="4" t="s">
        <v>7</v>
      </c>
      <c r="E320" s="2">
        <v>76.819950000000006</v>
      </c>
      <c r="F320" s="27">
        <f t="shared" ref="F320" si="282">AVERAGE(E320:E324)</f>
        <v>105.14182999999998</v>
      </c>
      <c r="G320" s="38"/>
      <c r="H320" s="2">
        <v>24.236000000000001</v>
      </c>
      <c r="I320" s="27">
        <f t="shared" ref="I320" si="283">AVERAGE(H320:H324)</f>
        <v>23.674484</v>
      </c>
      <c r="J320" s="38"/>
      <c r="L320" s="31"/>
      <c r="M320" s="33"/>
      <c r="N320" s="26">
        <v>4</v>
      </c>
      <c r="O320" s="5" t="s">
        <v>7</v>
      </c>
      <c r="P320" s="2">
        <v>91.690089999999998</v>
      </c>
      <c r="Q320" s="27">
        <f t="shared" ref="Q320" si="284">AVERAGE(P320:P324)</f>
        <v>92.923482000000007</v>
      </c>
      <c r="R320" s="38"/>
      <c r="S320" s="1">
        <v>21.456469999999999</v>
      </c>
      <c r="T320" s="30">
        <f t="shared" ref="T320" si="285">AVERAGE(S320:S324)</f>
        <v>25.495014000000001</v>
      </c>
      <c r="U320" s="41"/>
    </row>
    <row r="321" spans="1:21" ht="16" x14ac:dyDescent="0.2">
      <c r="A321" s="31"/>
      <c r="B321" s="33"/>
      <c r="C321" s="26"/>
      <c r="D321" s="4" t="s">
        <v>8</v>
      </c>
      <c r="E321" s="2">
        <v>92.638080000000002</v>
      </c>
      <c r="F321" s="28"/>
      <c r="G321" s="38"/>
      <c r="H321" s="2">
        <v>23.507559999999998</v>
      </c>
      <c r="I321" s="28"/>
      <c r="J321" s="38"/>
      <c r="L321" s="31"/>
      <c r="M321" s="33"/>
      <c r="N321" s="26"/>
      <c r="O321" s="5" t="s">
        <v>8</v>
      </c>
      <c r="P321" s="2">
        <v>94.576640000000012</v>
      </c>
      <c r="Q321" s="28"/>
      <c r="R321" s="38"/>
      <c r="S321" s="1">
        <v>25.61469</v>
      </c>
      <c r="T321" s="31"/>
      <c r="U321" s="41"/>
    </row>
    <row r="322" spans="1:21" ht="16" x14ac:dyDescent="0.2">
      <c r="A322" s="31"/>
      <c r="B322" s="33"/>
      <c r="C322" s="26"/>
      <c r="D322" s="4" t="s">
        <v>9</v>
      </c>
      <c r="E322" s="2">
        <v>93.666209999999992</v>
      </c>
      <c r="F322" s="28"/>
      <c r="G322" s="38"/>
      <c r="H322" s="2">
        <v>29.640650000000001</v>
      </c>
      <c r="I322" s="28"/>
      <c r="J322" s="38"/>
      <c r="L322" s="31"/>
      <c r="M322" s="33"/>
      <c r="N322" s="26"/>
      <c r="O322" s="5" t="s">
        <v>9</v>
      </c>
      <c r="P322" s="2">
        <v>92.559460000000001</v>
      </c>
      <c r="Q322" s="28"/>
      <c r="R322" s="38"/>
      <c r="S322" s="1">
        <v>21.456469999999999</v>
      </c>
      <c r="T322" s="31"/>
      <c r="U322" s="41"/>
    </row>
    <row r="323" spans="1:21" ht="16" x14ac:dyDescent="0.2">
      <c r="A323" s="31"/>
      <c r="B323" s="33"/>
      <c r="C323" s="26"/>
      <c r="D323" s="4" t="s">
        <v>10</v>
      </c>
      <c r="E323" s="2">
        <v>85.764959999999988</v>
      </c>
      <c r="F323" s="28"/>
      <c r="G323" s="38"/>
      <c r="H323" s="2">
        <v>18.981929999999998</v>
      </c>
      <c r="I323" s="28"/>
      <c r="J323" s="38"/>
      <c r="L323" s="31"/>
      <c r="M323" s="33"/>
      <c r="N323" s="26"/>
      <c r="O323" s="5" t="s">
        <v>10</v>
      </c>
      <c r="P323" s="2">
        <v>95.983490000000003</v>
      </c>
      <c r="Q323" s="28"/>
      <c r="R323" s="38"/>
      <c r="S323" s="1">
        <v>29.760079999999999</v>
      </c>
      <c r="T323" s="31"/>
      <c r="U323" s="41"/>
    </row>
    <row r="324" spans="1:21" ht="16" x14ac:dyDescent="0.2">
      <c r="A324" s="31"/>
      <c r="B324" s="33"/>
      <c r="C324" s="26"/>
      <c r="D324" s="4" t="s">
        <v>11</v>
      </c>
      <c r="E324" s="2">
        <v>176.81994999999998</v>
      </c>
      <c r="F324" s="29"/>
      <c r="G324" s="38"/>
      <c r="H324" s="2">
        <v>22.00628</v>
      </c>
      <c r="I324" s="29"/>
      <c r="J324" s="38"/>
      <c r="L324" s="31"/>
      <c r="M324" s="33"/>
      <c r="N324" s="26"/>
      <c r="O324" s="5" t="s">
        <v>11</v>
      </c>
      <c r="P324" s="2">
        <v>89.807729999999992</v>
      </c>
      <c r="Q324" s="29"/>
      <c r="R324" s="38"/>
      <c r="S324" s="1">
        <v>29.187359999999998</v>
      </c>
      <c r="T324" s="32"/>
      <c r="U324" s="41"/>
    </row>
    <row r="325" spans="1:21" ht="16" x14ac:dyDescent="0.2">
      <c r="A325" s="31"/>
      <c r="B325" s="33"/>
      <c r="C325" s="26">
        <v>5</v>
      </c>
      <c r="D325" s="4" t="s">
        <v>7</v>
      </c>
      <c r="E325" s="2">
        <v>109.99579</v>
      </c>
      <c r="F325" s="27">
        <f t="shared" ref="F325" si="286">AVERAGE(E325:E329)</f>
        <v>117.98580799999999</v>
      </c>
      <c r="G325" s="38"/>
      <c r="H325" s="2">
        <v>23.828780000000002</v>
      </c>
      <c r="I325" s="27">
        <f t="shared" ref="I325" si="287">AVERAGE(H325:H329)</f>
        <v>25.800270000000001</v>
      </c>
      <c r="J325" s="38"/>
      <c r="L325" s="31"/>
      <c r="M325" s="33"/>
      <c r="N325" s="26">
        <v>5</v>
      </c>
      <c r="O325" s="5" t="s">
        <v>7</v>
      </c>
      <c r="P325" s="2">
        <v>178.94691</v>
      </c>
      <c r="Q325" s="27">
        <f t="shared" ref="Q325" si="288">AVERAGE(P325:P329)</f>
        <v>151.56421800000001</v>
      </c>
      <c r="R325" s="38"/>
      <c r="S325" s="1">
        <v>21.217390000000002</v>
      </c>
      <c r="T325" s="30">
        <f t="shared" ref="T325" si="289">AVERAGE(S325:S329)</f>
        <v>23.513290000000005</v>
      </c>
      <c r="U325" s="41"/>
    </row>
    <row r="326" spans="1:21" ht="16" x14ac:dyDescent="0.2">
      <c r="A326" s="31"/>
      <c r="B326" s="33"/>
      <c r="C326" s="26"/>
      <c r="D326" s="4" t="s">
        <v>8</v>
      </c>
      <c r="E326" s="2">
        <v>115.59186</v>
      </c>
      <c r="F326" s="28"/>
      <c r="G326" s="38"/>
      <c r="H326" s="2">
        <v>25.671370000000003</v>
      </c>
      <c r="I326" s="28"/>
      <c r="J326" s="38"/>
      <c r="L326" s="31"/>
      <c r="M326" s="33"/>
      <c r="N326" s="26"/>
      <c r="O326" s="5" t="s">
        <v>8</v>
      </c>
      <c r="P326" s="2">
        <v>177.73573999999999</v>
      </c>
      <c r="Q326" s="28"/>
      <c r="R326" s="38"/>
      <c r="S326" s="1">
        <v>24.26511</v>
      </c>
      <c r="T326" s="31"/>
      <c r="U326" s="41"/>
    </row>
    <row r="327" spans="1:21" ht="16" x14ac:dyDescent="0.2">
      <c r="A327" s="31"/>
      <c r="B327" s="33"/>
      <c r="C327" s="26"/>
      <c r="D327" s="4" t="s">
        <v>9</v>
      </c>
      <c r="E327" s="2">
        <v>126.81608</v>
      </c>
      <c r="F327" s="28"/>
      <c r="G327" s="38"/>
      <c r="H327" s="2">
        <v>25.700849999999999</v>
      </c>
      <c r="I327" s="28"/>
      <c r="J327" s="38"/>
      <c r="L327" s="31"/>
      <c r="M327" s="33"/>
      <c r="N327" s="26"/>
      <c r="O327" s="5" t="s">
        <v>9</v>
      </c>
      <c r="P327" s="2">
        <v>159.72852</v>
      </c>
      <c r="Q327" s="28"/>
      <c r="R327" s="38"/>
      <c r="S327" s="1">
        <v>19.36619</v>
      </c>
      <c r="T327" s="31"/>
      <c r="U327" s="41"/>
    </row>
    <row r="328" spans="1:21" ht="16" x14ac:dyDescent="0.2">
      <c r="A328" s="31"/>
      <c r="B328" s="33"/>
      <c r="C328" s="26"/>
      <c r="D328" s="4" t="s">
        <v>10</v>
      </c>
      <c r="E328" s="2">
        <v>119.1187</v>
      </c>
      <c r="F328" s="28"/>
      <c r="G328" s="38"/>
      <c r="H328" s="2">
        <v>29.38128</v>
      </c>
      <c r="I328" s="28"/>
      <c r="J328" s="38"/>
      <c r="L328" s="31"/>
      <c r="M328" s="33"/>
      <c r="N328" s="26"/>
      <c r="O328" s="5" t="s">
        <v>10</v>
      </c>
      <c r="P328" s="2">
        <v>140.97255999999999</v>
      </c>
      <c r="Q328" s="28"/>
      <c r="R328" s="38"/>
      <c r="S328" s="1">
        <v>26.039340000000003</v>
      </c>
      <c r="T328" s="31"/>
      <c r="U328" s="41"/>
    </row>
    <row r="329" spans="1:21" ht="16" x14ac:dyDescent="0.2">
      <c r="A329" s="31"/>
      <c r="B329" s="33"/>
      <c r="C329" s="26"/>
      <c r="D329" s="4" t="s">
        <v>11</v>
      </c>
      <c r="E329" s="2">
        <v>118.40661</v>
      </c>
      <c r="F329" s="29"/>
      <c r="G329" s="39"/>
      <c r="H329" s="2">
        <v>24.419070000000001</v>
      </c>
      <c r="I329" s="29"/>
      <c r="J329" s="39"/>
      <c r="L329" s="31"/>
      <c r="M329" s="33"/>
      <c r="N329" s="26"/>
      <c r="O329" s="5" t="s">
        <v>11</v>
      </c>
      <c r="P329" s="2">
        <v>100.43736000000001</v>
      </c>
      <c r="Q329" s="29"/>
      <c r="R329" s="39"/>
      <c r="S329" s="1">
        <v>26.678420000000003</v>
      </c>
      <c r="T329" s="32"/>
      <c r="U329" s="42"/>
    </row>
    <row r="330" spans="1:21" ht="16" x14ac:dyDescent="0.2">
      <c r="A330" s="31"/>
      <c r="B330" s="26">
        <v>2</v>
      </c>
      <c r="C330" s="26">
        <v>1</v>
      </c>
      <c r="D330" s="4" t="s">
        <v>7</v>
      </c>
      <c r="E330" s="2">
        <v>116.28748999999999</v>
      </c>
      <c r="F330" s="27">
        <f t="shared" ref="F330" si="290">AVERAGE(E330:E334)</f>
        <v>142.416876</v>
      </c>
      <c r="G330" s="37">
        <f>AVERAGE(F330:F354)</f>
        <v>117.9417028</v>
      </c>
      <c r="H330" s="2">
        <v>17.51867</v>
      </c>
      <c r="I330" s="27">
        <f t="shared" ref="I330" si="291">AVERAGE(H330:H334)</f>
        <v>25.124732000000002</v>
      </c>
      <c r="J330" s="37">
        <f t="shared" ref="J330" si="292">AVERAGE(I330:I354)</f>
        <v>23.791981599999996</v>
      </c>
      <c r="L330" s="31"/>
      <c r="M330" s="33">
        <v>2</v>
      </c>
      <c r="N330" s="26">
        <v>1</v>
      </c>
      <c r="O330" s="5" t="s">
        <v>7</v>
      </c>
      <c r="P330" s="2">
        <v>97.815539999999999</v>
      </c>
      <c r="Q330" s="27">
        <f t="shared" ref="Q330" si="293">AVERAGE(P330:P334)</f>
        <v>101.79760400000001</v>
      </c>
      <c r="R330" s="37">
        <f t="shared" ref="R330" si="294">AVERAGE(Q330:Q354)</f>
        <v>120.2970392</v>
      </c>
      <c r="S330" s="1">
        <v>26.778859999999998</v>
      </c>
      <c r="T330" s="30">
        <f t="shared" ref="T330" si="295">AVERAGE(S330:S334)</f>
        <v>24.43543</v>
      </c>
      <c r="U330" s="40">
        <f t="shared" ref="U330" si="296">AVERAGE(T330:T354)</f>
        <v>24.191361999999998</v>
      </c>
    </row>
    <row r="331" spans="1:21" ht="16" x14ac:dyDescent="0.2">
      <c r="A331" s="31"/>
      <c r="B331" s="26"/>
      <c r="C331" s="26"/>
      <c r="D331" s="4" t="s">
        <v>8</v>
      </c>
      <c r="E331" s="2">
        <v>135.22441999999998</v>
      </c>
      <c r="F331" s="28"/>
      <c r="G331" s="38"/>
      <c r="H331" s="2">
        <v>31.211439999999996</v>
      </c>
      <c r="I331" s="28"/>
      <c r="J331" s="38"/>
      <c r="L331" s="31"/>
      <c r="M331" s="33"/>
      <c r="N331" s="26"/>
      <c r="O331" s="5" t="s">
        <v>8</v>
      </c>
      <c r="P331" s="2">
        <v>98.022450000000006</v>
      </c>
      <c r="Q331" s="28"/>
      <c r="R331" s="38"/>
      <c r="S331" s="1">
        <v>19.677329999999998</v>
      </c>
      <c r="T331" s="31"/>
      <c r="U331" s="41"/>
    </row>
    <row r="332" spans="1:21" ht="16" x14ac:dyDescent="0.2">
      <c r="A332" s="31"/>
      <c r="B332" s="26"/>
      <c r="C332" s="26"/>
      <c r="D332" s="4" t="s">
        <v>9</v>
      </c>
      <c r="E332" s="2">
        <v>164.71283</v>
      </c>
      <c r="F332" s="28"/>
      <c r="G332" s="38"/>
      <c r="H332" s="2">
        <v>21.0258</v>
      </c>
      <c r="I332" s="28"/>
      <c r="J332" s="38"/>
      <c r="L332" s="31"/>
      <c r="M332" s="33"/>
      <c r="N332" s="26"/>
      <c r="O332" s="5" t="s">
        <v>9</v>
      </c>
      <c r="P332" s="2">
        <v>113.05941000000001</v>
      </c>
      <c r="Q332" s="28"/>
      <c r="R332" s="38"/>
      <c r="S332" s="1">
        <v>24.779330000000002</v>
      </c>
      <c r="T332" s="31"/>
      <c r="U332" s="41"/>
    </row>
    <row r="333" spans="1:21" ht="16" x14ac:dyDescent="0.2">
      <c r="A333" s="31"/>
      <c r="B333" s="26"/>
      <c r="C333" s="26"/>
      <c r="D333" s="4" t="s">
        <v>10</v>
      </c>
      <c r="E333" s="2">
        <v>139.01488000000001</v>
      </c>
      <c r="F333" s="28"/>
      <c r="G333" s="38"/>
      <c r="H333" s="2">
        <v>27.1419</v>
      </c>
      <c r="I333" s="28"/>
      <c r="J333" s="38"/>
      <c r="L333" s="31"/>
      <c r="M333" s="33"/>
      <c r="N333" s="26"/>
      <c r="O333" s="5" t="s">
        <v>10</v>
      </c>
      <c r="P333" s="2">
        <v>122.29745000000001</v>
      </c>
      <c r="Q333" s="28"/>
      <c r="R333" s="38"/>
      <c r="S333" s="1">
        <v>23.465169999999997</v>
      </c>
      <c r="T333" s="31"/>
      <c r="U333" s="41"/>
    </row>
    <row r="334" spans="1:21" ht="16" x14ac:dyDescent="0.2">
      <c r="A334" s="31"/>
      <c r="B334" s="26"/>
      <c r="C334" s="26"/>
      <c r="D334" s="4" t="s">
        <v>11</v>
      </c>
      <c r="E334" s="2">
        <v>156.84476000000001</v>
      </c>
      <c r="F334" s="29"/>
      <c r="G334" s="38"/>
      <c r="H334" s="2">
        <v>28.725850000000001</v>
      </c>
      <c r="I334" s="29"/>
      <c r="J334" s="38"/>
      <c r="L334" s="31"/>
      <c r="M334" s="33"/>
      <c r="N334" s="26"/>
      <c r="O334" s="5" t="s">
        <v>11</v>
      </c>
      <c r="P334" s="2">
        <v>77.793170000000003</v>
      </c>
      <c r="Q334" s="29"/>
      <c r="R334" s="38"/>
      <c r="S334" s="1">
        <v>27.476460000000003</v>
      </c>
      <c r="T334" s="32"/>
      <c r="U334" s="41"/>
    </row>
    <row r="335" spans="1:21" ht="16" x14ac:dyDescent="0.2">
      <c r="A335" s="31"/>
      <c r="B335" s="26"/>
      <c r="C335" s="26">
        <v>2</v>
      </c>
      <c r="D335" s="4" t="s">
        <v>7</v>
      </c>
      <c r="E335" s="2">
        <v>112.62729999999999</v>
      </c>
      <c r="F335" s="27">
        <f t="shared" ref="F335" si="297">AVERAGE(E335:E339)</f>
        <v>115.60105000000001</v>
      </c>
      <c r="G335" s="38"/>
      <c r="H335" s="2">
        <v>30.16508</v>
      </c>
      <c r="I335" s="27">
        <f t="shared" ref="I335" si="298">AVERAGE(H335:H339)</f>
        <v>27.241765999999995</v>
      </c>
      <c r="J335" s="38"/>
      <c r="L335" s="31"/>
      <c r="M335" s="33"/>
      <c r="N335" s="26">
        <v>2</v>
      </c>
      <c r="O335" s="5" t="s">
        <v>7</v>
      </c>
      <c r="P335" s="2">
        <v>145.67616000000001</v>
      </c>
      <c r="Q335" s="27">
        <f t="shared" ref="Q335" si="299">AVERAGE(P335:P339)</f>
        <v>140.689874</v>
      </c>
      <c r="R335" s="38"/>
      <c r="S335" s="1">
        <v>21.176210000000001</v>
      </c>
      <c r="T335" s="30">
        <f t="shared" ref="T335" si="300">AVERAGE(S335:S339)</f>
        <v>24.156179999999999</v>
      </c>
      <c r="U335" s="41"/>
    </row>
    <row r="336" spans="1:21" ht="16" x14ac:dyDescent="0.2">
      <c r="A336" s="31"/>
      <c r="B336" s="26"/>
      <c r="C336" s="26"/>
      <c r="D336" s="4" t="s">
        <v>8</v>
      </c>
      <c r="E336" s="2">
        <v>127.5222</v>
      </c>
      <c r="F336" s="28"/>
      <c r="G336" s="38"/>
      <c r="H336" s="2">
        <v>34.414650000000002</v>
      </c>
      <c r="I336" s="28"/>
      <c r="J336" s="38"/>
      <c r="L336" s="31"/>
      <c r="M336" s="33"/>
      <c r="N336" s="26"/>
      <c r="O336" s="5" t="s">
        <v>8</v>
      </c>
      <c r="P336" s="2">
        <v>144.96831</v>
      </c>
      <c r="Q336" s="28"/>
      <c r="R336" s="38"/>
      <c r="S336" s="1">
        <v>27.531640000000003</v>
      </c>
      <c r="T336" s="31"/>
      <c r="U336" s="41"/>
    </row>
    <row r="337" spans="1:21" ht="16" x14ac:dyDescent="0.2">
      <c r="A337" s="31"/>
      <c r="B337" s="26"/>
      <c r="C337" s="26"/>
      <c r="D337" s="4" t="s">
        <v>9</v>
      </c>
      <c r="E337" s="2">
        <v>111.31178</v>
      </c>
      <c r="F337" s="28"/>
      <c r="G337" s="38"/>
      <c r="H337" s="2">
        <v>19.489100000000001</v>
      </c>
      <c r="I337" s="28"/>
      <c r="J337" s="38"/>
      <c r="L337" s="31"/>
      <c r="M337" s="33"/>
      <c r="N337" s="26"/>
      <c r="O337" s="5" t="s">
        <v>9</v>
      </c>
      <c r="P337" s="2">
        <v>148.29517999999999</v>
      </c>
      <c r="Q337" s="28"/>
      <c r="R337" s="38"/>
      <c r="S337" s="1">
        <v>24.26511</v>
      </c>
      <c r="T337" s="31"/>
      <c r="U337" s="41"/>
    </row>
    <row r="338" spans="1:21" ht="16" x14ac:dyDescent="0.2">
      <c r="A338" s="31"/>
      <c r="B338" s="26"/>
      <c r="C338" s="26"/>
      <c r="D338" s="4" t="s">
        <v>10</v>
      </c>
      <c r="E338" s="2">
        <v>90.552990000000008</v>
      </c>
      <c r="F338" s="28"/>
      <c r="G338" s="38"/>
      <c r="H338" s="2">
        <v>26.381509999999999</v>
      </c>
      <c r="I338" s="28"/>
      <c r="J338" s="38"/>
      <c r="L338" s="31"/>
      <c r="M338" s="33"/>
      <c r="N338" s="26"/>
      <c r="O338" s="5" t="s">
        <v>10</v>
      </c>
      <c r="P338" s="2">
        <v>147.92079999999999</v>
      </c>
      <c r="Q338" s="28"/>
      <c r="R338" s="38"/>
      <c r="S338" s="1">
        <v>26.54073</v>
      </c>
      <c r="T338" s="31"/>
      <c r="U338" s="41"/>
    </row>
    <row r="339" spans="1:21" ht="16" x14ac:dyDescent="0.2">
      <c r="A339" s="31"/>
      <c r="B339" s="26"/>
      <c r="C339" s="26"/>
      <c r="D339" s="4" t="s">
        <v>11</v>
      </c>
      <c r="E339" s="2">
        <v>135.99098000000001</v>
      </c>
      <c r="F339" s="29"/>
      <c r="G339" s="38"/>
      <c r="H339" s="2">
        <v>25.758490000000002</v>
      </c>
      <c r="I339" s="29"/>
      <c r="J339" s="38"/>
      <c r="L339" s="31"/>
      <c r="M339" s="33"/>
      <c r="N339" s="26"/>
      <c r="O339" s="5" t="s">
        <v>11</v>
      </c>
      <c r="P339" s="2">
        <v>116.58892</v>
      </c>
      <c r="Q339" s="29"/>
      <c r="R339" s="38"/>
      <c r="S339" s="1">
        <v>21.267209999999999</v>
      </c>
      <c r="T339" s="32"/>
      <c r="U339" s="41"/>
    </row>
    <row r="340" spans="1:21" ht="16" x14ac:dyDescent="0.2">
      <c r="A340" s="31"/>
      <c r="B340" s="26"/>
      <c r="C340" s="26">
        <v>3</v>
      </c>
      <c r="D340" s="4" t="s">
        <v>7</v>
      </c>
      <c r="E340" s="2">
        <v>145.13819999999998</v>
      </c>
      <c r="F340" s="27">
        <f t="shared" ref="F340" si="301">AVERAGE(E340:E344)</f>
        <v>154.55598800000001</v>
      </c>
      <c r="G340" s="38"/>
      <c r="H340" s="2">
        <v>17.713660000000001</v>
      </c>
      <c r="I340" s="27">
        <f t="shared" ref="I340" si="302">AVERAGE(H340:H344)</f>
        <v>23.104620000000001</v>
      </c>
      <c r="J340" s="38"/>
      <c r="L340" s="31"/>
      <c r="M340" s="33"/>
      <c r="N340" s="26">
        <v>3</v>
      </c>
      <c r="O340" s="5" t="s">
        <v>7</v>
      </c>
      <c r="P340" s="2">
        <v>95.921229999999994</v>
      </c>
      <c r="Q340" s="27">
        <f t="shared" ref="Q340" si="303">AVERAGE(P340:P344)</f>
        <v>104.51001799999999</v>
      </c>
      <c r="R340" s="38"/>
      <c r="S340" s="1">
        <v>21.267209999999999</v>
      </c>
      <c r="T340" s="30">
        <f t="shared" ref="T340" si="304">AVERAGE(S340:S344)</f>
        <v>24.556896000000002</v>
      </c>
      <c r="U340" s="41"/>
    </row>
    <row r="341" spans="1:21" ht="16" x14ac:dyDescent="0.2">
      <c r="A341" s="31"/>
      <c r="B341" s="26"/>
      <c r="C341" s="26"/>
      <c r="D341" s="4" t="s">
        <v>8</v>
      </c>
      <c r="E341" s="2">
        <v>177.41086999999999</v>
      </c>
      <c r="F341" s="28"/>
      <c r="G341" s="38"/>
      <c r="H341" s="2">
        <v>21.698730000000001</v>
      </c>
      <c r="I341" s="28"/>
      <c r="J341" s="38"/>
      <c r="L341" s="31"/>
      <c r="M341" s="33"/>
      <c r="N341" s="26"/>
      <c r="O341" s="5" t="s">
        <v>8</v>
      </c>
      <c r="P341" s="2">
        <v>96.204959999999986</v>
      </c>
      <c r="Q341" s="28"/>
      <c r="R341" s="38"/>
      <c r="S341" s="1">
        <v>27.59357</v>
      </c>
      <c r="T341" s="31"/>
      <c r="U341" s="41"/>
    </row>
    <row r="342" spans="1:21" ht="16" x14ac:dyDescent="0.2">
      <c r="A342" s="31"/>
      <c r="B342" s="26"/>
      <c r="C342" s="26"/>
      <c r="D342" s="4" t="s">
        <v>9</v>
      </c>
      <c r="E342" s="2">
        <v>222.26098999999999</v>
      </c>
      <c r="F342" s="28"/>
      <c r="G342" s="38"/>
      <c r="H342" s="2">
        <v>15.44617</v>
      </c>
      <c r="I342" s="28"/>
      <c r="J342" s="38"/>
      <c r="L342" s="31"/>
      <c r="M342" s="33"/>
      <c r="N342" s="26"/>
      <c r="O342" s="5" t="s">
        <v>9</v>
      </c>
      <c r="P342" s="2">
        <v>141.15783999999999</v>
      </c>
      <c r="Q342" s="28"/>
      <c r="R342" s="38"/>
      <c r="S342" s="1">
        <v>28.38335</v>
      </c>
      <c r="T342" s="31"/>
      <c r="U342" s="41"/>
    </row>
    <row r="343" spans="1:21" ht="16" x14ac:dyDescent="0.2">
      <c r="A343" s="31"/>
      <c r="B343" s="26"/>
      <c r="C343" s="26"/>
      <c r="D343" s="4" t="s">
        <v>10</v>
      </c>
      <c r="E343" s="2">
        <v>139.36763000000002</v>
      </c>
      <c r="F343" s="28"/>
      <c r="G343" s="38"/>
      <c r="H343" s="2">
        <v>28.978200000000001</v>
      </c>
      <c r="I343" s="28"/>
      <c r="J343" s="38"/>
      <c r="L343" s="31"/>
      <c r="M343" s="33"/>
      <c r="N343" s="26"/>
      <c r="O343" s="5" t="s">
        <v>10</v>
      </c>
      <c r="P343" s="2">
        <v>99.423009999999991</v>
      </c>
      <c r="Q343" s="28"/>
      <c r="R343" s="38"/>
      <c r="S343" s="1">
        <v>24.52449</v>
      </c>
      <c r="T343" s="31"/>
      <c r="U343" s="41"/>
    </row>
    <row r="344" spans="1:21" ht="16" x14ac:dyDescent="0.2">
      <c r="A344" s="31"/>
      <c r="B344" s="26"/>
      <c r="C344" s="26"/>
      <c r="D344" s="4" t="s">
        <v>11</v>
      </c>
      <c r="E344" s="2">
        <v>88.602249999999998</v>
      </c>
      <c r="F344" s="29"/>
      <c r="G344" s="38"/>
      <c r="H344" s="2">
        <v>31.686340000000001</v>
      </c>
      <c r="I344" s="29"/>
      <c r="J344" s="38"/>
      <c r="L344" s="31"/>
      <c r="M344" s="33"/>
      <c r="N344" s="26"/>
      <c r="O344" s="5" t="s">
        <v>11</v>
      </c>
      <c r="P344" s="2">
        <v>89.843050000000005</v>
      </c>
      <c r="Q344" s="29"/>
      <c r="R344" s="38"/>
      <c r="S344" s="1">
        <v>21.015859999999996</v>
      </c>
      <c r="T344" s="32"/>
      <c r="U344" s="41"/>
    </row>
    <row r="345" spans="1:21" ht="16" x14ac:dyDescent="0.2">
      <c r="A345" s="31"/>
      <c r="B345" s="26"/>
      <c r="C345" s="26">
        <v>4</v>
      </c>
      <c r="D345" s="4" t="s">
        <v>7</v>
      </c>
      <c r="E345" s="2">
        <v>133.21030000000002</v>
      </c>
      <c r="F345" s="27">
        <f t="shared" ref="F345" si="305">AVERAGE(E345:E349)</f>
        <v>84.943224000000001</v>
      </c>
      <c r="G345" s="38"/>
      <c r="H345" s="2">
        <v>24.010850000000001</v>
      </c>
      <c r="I345" s="27">
        <f t="shared" ref="I345" si="306">AVERAGE(H345:H349)</f>
        <v>22.191938</v>
      </c>
      <c r="J345" s="38"/>
      <c r="L345" s="31"/>
      <c r="M345" s="33"/>
      <c r="N345" s="26">
        <v>4</v>
      </c>
      <c r="O345" s="5" t="s">
        <v>7</v>
      </c>
      <c r="P345" s="2">
        <v>91.690089999999998</v>
      </c>
      <c r="Q345" s="27">
        <f t="shared" ref="Q345" si="307">AVERAGE(P345:P349)</f>
        <v>102.92348200000001</v>
      </c>
      <c r="R345" s="38"/>
      <c r="S345" s="1">
        <v>21.456469999999999</v>
      </c>
      <c r="T345" s="30">
        <f t="shared" ref="T345" si="308">AVERAGE(S345:S349)</f>
        <v>25.495014000000001</v>
      </c>
      <c r="U345" s="41"/>
    </row>
    <row r="346" spans="1:21" ht="16" x14ac:dyDescent="0.2">
      <c r="A346" s="31"/>
      <c r="B346" s="26"/>
      <c r="C346" s="26"/>
      <c r="D346" s="4" t="s">
        <v>8</v>
      </c>
      <c r="E346" s="2">
        <v>36.350430000000003</v>
      </c>
      <c r="F346" s="28"/>
      <c r="G346" s="38"/>
      <c r="H346" s="2">
        <v>23.24663</v>
      </c>
      <c r="I346" s="28"/>
      <c r="J346" s="38"/>
      <c r="L346" s="31"/>
      <c r="M346" s="33"/>
      <c r="N346" s="26"/>
      <c r="O346" s="5" t="s">
        <v>8</v>
      </c>
      <c r="P346" s="2">
        <v>134.57664</v>
      </c>
      <c r="Q346" s="28"/>
      <c r="R346" s="38"/>
      <c r="S346" s="1">
        <v>25.61469</v>
      </c>
      <c r="T346" s="31"/>
      <c r="U346" s="41"/>
    </row>
    <row r="347" spans="1:21" ht="16" x14ac:dyDescent="0.2">
      <c r="A347" s="31"/>
      <c r="B347" s="26"/>
      <c r="C347" s="26"/>
      <c r="D347" s="4" t="s">
        <v>9</v>
      </c>
      <c r="E347" s="2">
        <v>114.27122</v>
      </c>
      <c r="F347" s="28"/>
      <c r="G347" s="38"/>
      <c r="H347" s="2">
        <v>22.881610000000002</v>
      </c>
      <c r="I347" s="28"/>
      <c r="J347" s="38"/>
      <c r="L347" s="31"/>
      <c r="M347" s="33"/>
      <c r="N347" s="26"/>
      <c r="O347" s="5" t="s">
        <v>9</v>
      </c>
      <c r="P347" s="2">
        <v>92.559460000000001</v>
      </c>
      <c r="Q347" s="28"/>
      <c r="R347" s="38"/>
      <c r="S347" s="1">
        <v>21.456469999999999</v>
      </c>
      <c r="T347" s="31"/>
      <c r="U347" s="41"/>
    </row>
    <row r="348" spans="1:21" ht="16" x14ac:dyDescent="0.2">
      <c r="A348" s="31"/>
      <c r="B348" s="26"/>
      <c r="C348" s="26"/>
      <c r="D348" s="4" t="s">
        <v>10</v>
      </c>
      <c r="E348" s="2">
        <v>86.822000000000003</v>
      </c>
      <c r="F348" s="28"/>
      <c r="G348" s="38"/>
      <c r="H348" s="2">
        <v>19.417090000000002</v>
      </c>
      <c r="I348" s="28"/>
      <c r="J348" s="38"/>
      <c r="L348" s="31"/>
      <c r="M348" s="33"/>
      <c r="N348" s="26"/>
      <c r="O348" s="5" t="s">
        <v>10</v>
      </c>
      <c r="P348" s="2">
        <v>95.983490000000003</v>
      </c>
      <c r="Q348" s="28"/>
      <c r="R348" s="38"/>
      <c r="S348" s="1">
        <v>29.760079999999999</v>
      </c>
      <c r="T348" s="31"/>
      <c r="U348" s="41"/>
    </row>
    <row r="349" spans="1:21" ht="16" x14ac:dyDescent="0.2">
      <c r="A349" s="31"/>
      <c r="B349" s="26"/>
      <c r="C349" s="26"/>
      <c r="D349" s="4" t="s">
        <v>11</v>
      </c>
      <c r="E349" s="2">
        <v>54.062169999999995</v>
      </c>
      <c r="F349" s="29"/>
      <c r="G349" s="38"/>
      <c r="H349" s="2">
        <v>21.403510000000001</v>
      </c>
      <c r="I349" s="29"/>
      <c r="J349" s="38"/>
      <c r="L349" s="31"/>
      <c r="M349" s="33"/>
      <c r="N349" s="26"/>
      <c r="O349" s="5" t="s">
        <v>11</v>
      </c>
      <c r="P349" s="2">
        <v>99.807729999999992</v>
      </c>
      <c r="Q349" s="29"/>
      <c r="R349" s="38"/>
      <c r="S349" s="1">
        <v>29.187359999999998</v>
      </c>
      <c r="T349" s="32"/>
      <c r="U349" s="41"/>
    </row>
    <row r="350" spans="1:21" ht="16" x14ac:dyDescent="0.2">
      <c r="A350" s="31"/>
      <c r="B350" s="26"/>
      <c r="C350" s="26">
        <v>5</v>
      </c>
      <c r="D350" s="4" t="s">
        <v>7</v>
      </c>
      <c r="E350" s="2">
        <v>17.62771</v>
      </c>
      <c r="F350" s="27">
        <f t="shared" ref="F350" si="309">AVERAGE(E350:E354)</f>
        <v>92.19137600000002</v>
      </c>
      <c r="G350" s="38"/>
      <c r="H350" s="2">
        <v>26.157310000000003</v>
      </c>
      <c r="I350" s="27">
        <f t="shared" ref="I350" si="310">AVERAGE(H350:H354)</f>
        <v>21.296852000000001</v>
      </c>
      <c r="J350" s="38"/>
      <c r="L350" s="31"/>
      <c r="M350" s="33"/>
      <c r="N350" s="26">
        <v>5</v>
      </c>
      <c r="O350" s="5" t="s">
        <v>7</v>
      </c>
      <c r="P350" s="2">
        <v>178.94691</v>
      </c>
      <c r="Q350" s="27">
        <f t="shared" ref="Q350" si="311">AVERAGE(P350:P354)</f>
        <v>151.56421800000001</v>
      </c>
      <c r="R350" s="38"/>
      <c r="S350" s="1">
        <v>21.217390000000002</v>
      </c>
      <c r="T350" s="30">
        <f t="shared" ref="T350" si="312">AVERAGE(S350:S354)</f>
        <v>22.313290000000002</v>
      </c>
      <c r="U350" s="41"/>
    </row>
    <row r="351" spans="1:21" ht="16" x14ac:dyDescent="0.2">
      <c r="A351" s="31"/>
      <c r="B351" s="26"/>
      <c r="C351" s="26"/>
      <c r="D351" s="4" t="s">
        <v>8</v>
      </c>
      <c r="E351" s="2">
        <v>140.53752</v>
      </c>
      <c r="F351" s="28"/>
      <c r="G351" s="38"/>
      <c r="H351" s="2">
        <v>20.940349999999999</v>
      </c>
      <c r="I351" s="28"/>
      <c r="J351" s="38"/>
      <c r="L351" s="31"/>
      <c r="M351" s="33"/>
      <c r="N351" s="26"/>
      <c r="O351" s="5" t="s">
        <v>8</v>
      </c>
      <c r="P351" s="2">
        <v>177.73573999999999</v>
      </c>
      <c r="Q351" s="28"/>
      <c r="R351" s="38"/>
      <c r="S351" s="1">
        <v>19.26511</v>
      </c>
      <c r="T351" s="31"/>
      <c r="U351" s="41"/>
    </row>
    <row r="352" spans="1:21" ht="16" x14ac:dyDescent="0.2">
      <c r="A352" s="31"/>
      <c r="B352" s="26"/>
      <c r="C352" s="26"/>
      <c r="D352" s="4" t="s">
        <v>9</v>
      </c>
      <c r="E352" s="2">
        <v>59.137180000000001</v>
      </c>
      <c r="F352" s="28"/>
      <c r="G352" s="38"/>
      <c r="H352" s="2">
        <v>25.142049999999998</v>
      </c>
      <c r="I352" s="28"/>
      <c r="J352" s="38"/>
      <c r="L352" s="31"/>
      <c r="M352" s="33"/>
      <c r="N352" s="26"/>
      <c r="O352" s="5" t="s">
        <v>9</v>
      </c>
      <c r="P352" s="2">
        <v>159.72852</v>
      </c>
      <c r="Q352" s="28"/>
      <c r="R352" s="38"/>
      <c r="S352" s="1">
        <v>21.366190000000003</v>
      </c>
      <c r="T352" s="31"/>
      <c r="U352" s="41"/>
    </row>
    <row r="353" spans="1:21" ht="16" x14ac:dyDescent="0.2">
      <c r="A353" s="31"/>
      <c r="B353" s="26"/>
      <c r="C353" s="26"/>
      <c r="D353" s="4" t="s">
        <v>10</v>
      </c>
      <c r="E353" s="2">
        <v>77.372510000000005</v>
      </c>
      <c r="F353" s="28"/>
      <c r="G353" s="38"/>
      <c r="H353" s="2">
        <v>13.38813</v>
      </c>
      <c r="I353" s="28"/>
      <c r="J353" s="38"/>
      <c r="L353" s="31"/>
      <c r="M353" s="33"/>
      <c r="N353" s="26"/>
      <c r="O353" s="5" t="s">
        <v>10</v>
      </c>
      <c r="P353" s="2">
        <v>140.97255999999999</v>
      </c>
      <c r="Q353" s="28"/>
      <c r="R353" s="38"/>
      <c r="S353" s="1">
        <v>26.039340000000003</v>
      </c>
      <c r="T353" s="31"/>
      <c r="U353" s="41"/>
    </row>
    <row r="354" spans="1:21" ht="16" x14ac:dyDescent="0.2">
      <c r="A354" s="31"/>
      <c r="B354" s="26"/>
      <c r="C354" s="26"/>
      <c r="D354" s="4" t="s">
        <v>11</v>
      </c>
      <c r="E354" s="2">
        <v>166.28196</v>
      </c>
      <c r="F354" s="29"/>
      <c r="G354" s="39"/>
      <c r="H354" s="2">
        <v>20.85642</v>
      </c>
      <c r="I354" s="29"/>
      <c r="J354" s="39"/>
      <c r="L354" s="31"/>
      <c r="M354" s="33"/>
      <c r="N354" s="26"/>
      <c r="O354" s="5" t="s">
        <v>11</v>
      </c>
      <c r="P354" s="2">
        <v>100.43736000000001</v>
      </c>
      <c r="Q354" s="29"/>
      <c r="R354" s="39"/>
      <c r="S354" s="1">
        <v>23.678420000000003</v>
      </c>
      <c r="T354" s="32"/>
      <c r="U354" s="42"/>
    </row>
    <row r="355" spans="1:21" ht="16" x14ac:dyDescent="0.2">
      <c r="A355" s="31"/>
      <c r="B355" s="33">
        <v>3</v>
      </c>
      <c r="C355" s="26">
        <v>1</v>
      </c>
      <c r="D355" s="4" t="s">
        <v>7</v>
      </c>
      <c r="E355" s="2">
        <v>106.35254999999999</v>
      </c>
      <c r="F355" s="27">
        <f t="shared" ref="F355" si="313">AVERAGE(E355:E359)</f>
        <v>113.57481800000001</v>
      </c>
      <c r="G355" s="37">
        <f>AVERAGE(F355:F379)</f>
        <v>110.76076279999999</v>
      </c>
      <c r="H355" s="2">
        <v>24.594290000000001</v>
      </c>
      <c r="I355" s="27">
        <f t="shared" ref="I355" si="314">AVERAGE(H355:H359)</f>
        <v>23.798033999999998</v>
      </c>
      <c r="J355" s="37">
        <f t="shared" ref="J355" si="315">AVERAGE(I355:I379)</f>
        <v>24.300935599999995</v>
      </c>
      <c r="L355" s="31"/>
      <c r="M355" s="33">
        <v>3</v>
      </c>
      <c r="N355" s="26">
        <v>1</v>
      </c>
      <c r="O355" s="5" t="s">
        <v>7</v>
      </c>
      <c r="P355" s="2">
        <v>95.921229999999994</v>
      </c>
      <c r="Q355" s="27">
        <f t="shared" ref="Q355" si="316">AVERAGE(P355:P359)</f>
        <v>113.51001799999999</v>
      </c>
      <c r="R355" s="37">
        <f t="shared" ref="R355" si="317">AVERAGE(Q355:Q379)</f>
        <v>125.2970392</v>
      </c>
      <c r="S355" s="1">
        <v>21.456469999999999</v>
      </c>
      <c r="T355" s="30">
        <f t="shared" ref="T355" si="318">AVERAGE(S355:S359)</f>
        <v>25.495014000000001</v>
      </c>
      <c r="U355" s="40">
        <f t="shared" ref="U355" si="319">AVERAGE(T355:T379)</f>
        <v>24.351362000000002</v>
      </c>
    </row>
    <row r="356" spans="1:21" ht="16" x14ac:dyDescent="0.2">
      <c r="A356" s="31"/>
      <c r="B356" s="33"/>
      <c r="C356" s="26"/>
      <c r="D356" s="4" t="s">
        <v>8</v>
      </c>
      <c r="E356" s="2">
        <v>101.13939000000001</v>
      </c>
      <c r="F356" s="28"/>
      <c r="G356" s="38"/>
      <c r="H356" s="2">
        <v>21.87866</v>
      </c>
      <c r="I356" s="28"/>
      <c r="J356" s="38"/>
      <c r="L356" s="31"/>
      <c r="M356" s="33"/>
      <c r="N356" s="26"/>
      <c r="O356" s="5" t="s">
        <v>8</v>
      </c>
      <c r="P356" s="2">
        <v>126.20495999999999</v>
      </c>
      <c r="Q356" s="28"/>
      <c r="R356" s="38"/>
      <c r="S356" s="1">
        <v>25.61469</v>
      </c>
      <c r="T356" s="31"/>
      <c r="U356" s="41"/>
    </row>
    <row r="357" spans="1:21" ht="16" x14ac:dyDescent="0.2">
      <c r="A357" s="31"/>
      <c r="B357" s="33"/>
      <c r="C357" s="26"/>
      <c r="D357" s="4" t="s">
        <v>9</v>
      </c>
      <c r="E357" s="2">
        <v>131.32705999999999</v>
      </c>
      <c r="F357" s="28"/>
      <c r="G357" s="38"/>
      <c r="H357" s="2">
        <v>22.242559999999997</v>
      </c>
      <c r="I357" s="28"/>
      <c r="J357" s="38"/>
      <c r="L357" s="31"/>
      <c r="M357" s="33"/>
      <c r="N357" s="26"/>
      <c r="O357" s="5" t="s">
        <v>9</v>
      </c>
      <c r="P357" s="2">
        <v>141.15783999999999</v>
      </c>
      <c r="Q357" s="28"/>
      <c r="R357" s="38"/>
      <c r="S357" s="1">
        <v>21.456469999999999</v>
      </c>
      <c r="T357" s="31"/>
      <c r="U357" s="41"/>
    </row>
    <row r="358" spans="1:21" ht="16" x14ac:dyDescent="0.2">
      <c r="A358" s="31"/>
      <c r="B358" s="33"/>
      <c r="C358" s="26"/>
      <c r="D358" s="4" t="s">
        <v>10</v>
      </c>
      <c r="E358" s="2">
        <v>109.21567999999999</v>
      </c>
      <c r="F358" s="28"/>
      <c r="G358" s="38"/>
      <c r="H358" s="2">
        <v>26.543020000000002</v>
      </c>
      <c r="I358" s="28"/>
      <c r="J358" s="38"/>
      <c r="L358" s="31"/>
      <c r="M358" s="33"/>
      <c r="N358" s="26"/>
      <c r="O358" s="5" t="s">
        <v>10</v>
      </c>
      <c r="P358" s="2">
        <v>94.423009999999991</v>
      </c>
      <c r="Q358" s="28"/>
      <c r="R358" s="38"/>
      <c r="S358" s="1">
        <v>29.760079999999999</v>
      </c>
      <c r="T358" s="31"/>
      <c r="U358" s="41"/>
    </row>
    <row r="359" spans="1:21" ht="16" x14ac:dyDescent="0.2">
      <c r="A359" s="31"/>
      <c r="B359" s="33"/>
      <c r="C359" s="26"/>
      <c r="D359" s="4" t="s">
        <v>11</v>
      </c>
      <c r="E359" s="2">
        <v>119.83941</v>
      </c>
      <c r="F359" s="29"/>
      <c r="G359" s="38"/>
      <c r="H359" s="2">
        <v>23.731640000000002</v>
      </c>
      <c r="I359" s="29"/>
      <c r="J359" s="38"/>
      <c r="L359" s="31"/>
      <c r="M359" s="33"/>
      <c r="N359" s="26"/>
      <c r="O359" s="5" t="s">
        <v>11</v>
      </c>
      <c r="P359" s="2">
        <v>109.84305000000001</v>
      </c>
      <c r="Q359" s="29"/>
      <c r="R359" s="38"/>
      <c r="S359" s="1">
        <v>29.187359999999998</v>
      </c>
      <c r="T359" s="32"/>
      <c r="U359" s="41"/>
    </row>
    <row r="360" spans="1:21" ht="16" x14ac:dyDescent="0.2">
      <c r="A360" s="31"/>
      <c r="B360" s="33"/>
      <c r="C360" s="26">
        <v>2</v>
      </c>
      <c r="D360" s="4" t="s">
        <v>7</v>
      </c>
      <c r="E360" s="2">
        <v>100.22150999999999</v>
      </c>
      <c r="F360" s="27">
        <f t="shared" ref="F360" si="320">AVERAGE(E360:E364)</f>
        <v>120.78787800000001</v>
      </c>
      <c r="G360" s="38"/>
      <c r="H360" s="2">
        <v>18.684649999999998</v>
      </c>
      <c r="I360" s="27">
        <f t="shared" ref="I360" si="321">AVERAGE(H360:H364)</f>
        <v>23.638207999999999</v>
      </c>
      <c r="J360" s="38"/>
      <c r="L360" s="31"/>
      <c r="M360" s="33"/>
      <c r="N360" s="26">
        <v>2</v>
      </c>
      <c r="O360" s="5" t="s">
        <v>7</v>
      </c>
      <c r="P360" s="2">
        <v>131.69009</v>
      </c>
      <c r="Q360" s="27">
        <f t="shared" ref="Q360" si="322">AVERAGE(P360:P364)</f>
        <v>118.92348199999999</v>
      </c>
      <c r="R360" s="38"/>
      <c r="S360" s="1">
        <v>23.217390000000002</v>
      </c>
      <c r="T360" s="30">
        <f t="shared" ref="T360" si="323">AVERAGE(S360:S364)</f>
        <v>23.913290000000003</v>
      </c>
      <c r="U360" s="41"/>
    </row>
    <row r="361" spans="1:21" ht="16" x14ac:dyDescent="0.2">
      <c r="A361" s="31"/>
      <c r="B361" s="33"/>
      <c r="C361" s="26"/>
      <c r="D361" s="4" t="s">
        <v>8</v>
      </c>
      <c r="E361" s="2">
        <v>97.098739999999992</v>
      </c>
      <c r="F361" s="28"/>
      <c r="G361" s="38"/>
      <c r="H361" s="2">
        <v>22.537700000000001</v>
      </c>
      <c r="I361" s="28"/>
      <c r="J361" s="38"/>
      <c r="L361" s="31"/>
      <c r="M361" s="33"/>
      <c r="N361" s="26"/>
      <c r="O361" s="5" t="s">
        <v>8</v>
      </c>
      <c r="P361" s="2">
        <v>114.57664000000001</v>
      </c>
      <c r="Q361" s="28"/>
      <c r="R361" s="38"/>
      <c r="S361" s="1">
        <v>24.26511</v>
      </c>
      <c r="T361" s="31"/>
      <c r="U361" s="41"/>
    </row>
    <row r="362" spans="1:21" ht="16" x14ac:dyDescent="0.2">
      <c r="A362" s="31"/>
      <c r="B362" s="33"/>
      <c r="C362" s="26"/>
      <c r="D362" s="4" t="s">
        <v>9</v>
      </c>
      <c r="E362" s="2">
        <v>122.04015</v>
      </c>
      <c r="F362" s="28"/>
      <c r="G362" s="38"/>
      <c r="H362" s="2">
        <v>22.962229999999998</v>
      </c>
      <c r="I362" s="28"/>
      <c r="J362" s="38"/>
      <c r="L362" s="31"/>
      <c r="M362" s="33"/>
      <c r="N362" s="26"/>
      <c r="O362" s="5" t="s">
        <v>9</v>
      </c>
      <c r="P362" s="2">
        <v>92.559460000000001</v>
      </c>
      <c r="Q362" s="28"/>
      <c r="R362" s="38"/>
      <c r="S362" s="1">
        <v>21.366190000000003</v>
      </c>
      <c r="T362" s="31"/>
      <c r="U362" s="41"/>
    </row>
    <row r="363" spans="1:21" ht="16" x14ac:dyDescent="0.2">
      <c r="A363" s="31"/>
      <c r="B363" s="33"/>
      <c r="C363" s="26"/>
      <c r="D363" s="4" t="s">
        <v>10</v>
      </c>
      <c r="E363" s="2">
        <v>131.99673000000001</v>
      </c>
      <c r="F363" s="28"/>
      <c r="G363" s="38"/>
      <c r="H363" s="2">
        <v>26.039340000000003</v>
      </c>
      <c r="I363" s="28"/>
      <c r="J363" s="38"/>
      <c r="L363" s="31"/>
      <c r="M363" s="33"/>
      <c r="N363" s="26"/>
      <c r="O363" s="5" t="s">
        <v>10</v>
      </c>
      <c r="P363" s="2">
        <v>155.98348999999999</v>
      </c>
      <c r="Q363" s="28"/>
      <c r="R363" s="38"/>
      <c r="S363" s="1">
        <v>26.039340000000003</v>
      </c>
      <c r="T363" s="31"/>
      <c r="U363" s="41"/>
    </row>
    <row r="364" spans="1:21" ht="16" x14ac:dyDescent="0.2">
      <c r="A364" s="31"/>
      <c r="B364" s="33"/>
      <c r="C364" s="26"/>
      <c r="D364" s="4" t="s">
        <v>11</v>
      </c>
      <c r="E364" s="2">
        <v>152.58226000000002</v>
      </c>
      <c r="F364" s="29"/>
      <c r="G364" s="38"/>
      <c r="H364" s="2">
        <v>27.967120000000001</v>
      </c>
      <c r="I364" s="29"/>
      <c r="J364" s="38"/>
      <c r="L364" s="31"/>
      <c r="M364" s="33"/>
      <c r="N364" s="26"/>
      <c r="O364" s="5" t="s">
        <v>11</v>
      </c>
      <c r="P364" s="2">
        <v>99.807729999999992</v>
      </c>
      <c r="Q364" s="29"/>
      <c r="R364" s="38"/>
      <c r="S364" s="1">
        <v>24.678420000000003</v>
      </c>
      <c r="T364" s="32"/>
      <c r="U364" s="41"/>
    </row>
    <row r="365" spans="1:21" ht="16" x14ac:dyDescent="0.2">
      <c r="A365" s="31"/>
      <c r="B365" s="33"/>
      <c r="C365" s="26">
        <v>3</v>
      </c>
      <c r="D365" s="4" t="s">
        <v>7</v>
      </c>
      <c r="E365" s="2">
        <v>108.50712</v>
      </c>
      <c r="F365" s="27">
        <f t="shared" ref="F365" si="324">AVERAGE(E365:E369)</f>
        <v>102.41729600000001</v>
      </c>
      <c r="G365" s="38"/>
      <c r="H365" s="2">
        <v>19.852889999999999</v>
      </c>
      <c r="I365" s="27">
        <f t="shared" ref="I365" si="325">AVERAGE(H365:H369)</f>
        <v>23.979309999999998</v>
      </c>
      <c r="J365" s="38"/>
      <c r="L365" s="31"/>
      <c r="M365" s="33"/>
      <c r="N365" s="26">
        <v>3</v>
      </c>
      <c r="O365" s="5" t="s">
        <v>7</v>
      </c>
      <c r="P365" s="2">
        <v>178.94691</v>
      </c>
      <c r="Q365" s="27">
        <f t="shared" ref="Q365" si="326">AVERAGE(P365:P369)</f>
        <v>151.56421800000001</v>
      </c>
      <c r="R365" s="38"/>
      <c r="S365" s="1">
        <v>26.778859999999998</v>
      </c>
      <c r="T365" s="30">
        <f t="shared" ref="T365" si="327">AVERAGE(S365:S369)</f>
        <v>24.035429999999998</v>
      </c>
      <c r="U365" s="41"/>
    </row>
    <row r="366" spans="1:21" ht="16" x14ac:dyDescent="0.2">
      <c r="A366" s="31"/>
      <c r="B366" s="33"/>
      <c r="C366" s="26"/>
      <c r="D366" s="4" t="s">
        <v>8</v>
      </c>
      <c r="E366" s="2">
        <v>72.269419999999997</v>
      </c>
      <c r="F366" s="28"/>
      <c r="G366" s="38"/>
      <c r="H366" s="2">
        <v>26.125509999999998</v>
      </c>
      <c r="I366" s="28"/>
      <c r="J366" s="38"/>
      <c r="L366" s="31"/>
      <c r="M366" s="33"/>
      <c r="N366" s="26"/>
      <c r="O366" s="5" t="s">
        <v>8</v>
      </c>
      <c r="P366" s="2">
        <v>177.73573999999999</v>
      </c>
      <c r="Q366" s="28"/>
      <c r="R366" s="38"/>
      <c r="S366" s="1">
        <v>19.677329999999998</v>
      </c>
      <c r="T366" s="31"/>
      <c r="U366" s="41"/>
    </row>
    <row r="367" spans="1:21" ht="16" x14ac:dyDescent="0.2">
      <c r="A367" s="31"/>
      <c r="B367" s="33"/>
      <c r="C367" s="26"/>
      <c r="D367" s="4" t="s">
        <v>9</v>
      </c>
      <c r="E367" s="2">
        <v>113.89323</v>
      </c>
      <c r="F367" s="28"/>
      <c r="G367" s="38"/>
      <c r="H367" s="2">
        <v>25.787469999999999</v>
      </c>
      <c r="I367" s="28"/>
      <c r="J367" s="38"/>
      <c r="L367" s="31"/>
      <c r="M367" s="33"/>
      <c r="N367" s="26"/>
      <c r="O367" s="5" t="s">
        <v>9</v>
      </c>
      <c r="P367" s="2">
        <v>159.72852</v>
      </c>
      <c r="Q367" s="28"/>
      <c r="R367" s="38"/>
      <c r="S367" s="1">
        <v>24.779330000000002</v>
      </c>
      <c r="T367" s="31"/>
      <c r="U367" s="41"/>
    </row>
    <row r="368" spans="1:21" ht="16" x14ac:dyDescent="0.2">
      <c r="A368" s="31"/>
      <c r="B368" s="33"/>
      <c r="C368" s="26"/>
      <c r="D368" s="4" t="s">
        <v>10</v>
      </c>
      <c r="E368" s="2">
        <v>96.779590000000013</v>
      </c>
      <c r="F368" s="28"/>
      <c r="G368" s="38"/>
      <c r="H368" s="2">
        <v>25.128890000000002</v>
      </c>
      <c r="I368" s="28"/>
      <c r="J368" s="38"/>
      <c r="L368" s="31"/>
      <c r="M368" s="33"/>
      <c r="N368" s="26"/>
      <c r="O368" s="5" t="s">
        <v>10</v>
      </c>
      <c r="P368" s="2">
        <v>140.97255999999999</v>
      </c>
      <c r="Q368" s="28"/>
      <c r="R368" s="38"/>
      <c r="S368" s="1">
        <v>21.465169999999997</v>
      </c>
      <c r="T368" s="31"/>
      <c r="U368" s="41"/>
    </row>
    <row r="369" spans="1:21" ht="16" x14ac:dyDescent="0.2">
      <c r="A369" s="31"/>
      <c r="B369" s="33"/>
      <c r="C369" s="26"/>
      <c r="D369" s="4" t="s">
        <v>11</v>
      </c>
      <c r="E369" s="2">
        <v>120.63712</v>
      </c>
      <c r="F369" s="29"/>
      <c r="G369" s="38"/>
      <c r="H369" s="2">
        <v>23.00179</v>
      </c>
      <c r="I369" s="29"/>
      <c r="J369" s="38"/>
      <c r="L369" s="31"/>
      <c r="M369" s="33"/>
      <c r="N369" s="26"/>
      <c r="O369" s="5" t="s">
        <v>11</v>
      </c>
      <c r="P369" s="2">
        <v>100.43736000000001</v>
      </c>
      <c r="Q369" s="29"/>
      <c r="R369" s="38"/>
      <c r="S369" s="1">
        <v>27.476460000000003</v>
      </c>
      <c r="T369" s="32"/>
      <c r="U369" s="41"/>
    </row>
    <row r="370" spans="1:21" ht="16" x14ac:dyDescent="0.2">
      <c r="A370" s="31"/>
      <c r="B370" s="33"/>
      <c r="C370" s="26">
        <v>4</v>
      </c>
      <c r="D370" s="4" t="s">
        <v>7</v>
      </c>
      <c r="E370" s="2">
        <v>97.251059999999995</v>
      </c>
      <c r="F370" s="27">
        <f t="shared" ref="F370" si="328">AVERAGE(E370:E374)</f>
        <v>104.74328</v>
      </c>
      <c r="G370" s="38"/>
      <c r="H370" s="2">
        <v>20.810580000000002</v>
      </c>
      <c r="I370" s="27">
        <f t="shared" ref="I370" si="329">AVERAGE(H370:H374)</f>
        <v>23.646728</v>
      </c>
      <c r="J370" s="38"/>
      <c r="L370" s="31"/>
      <c r="M370" s="33"/>
      <c r="N370" s="26">
        <v>4</v>
      </c>
      <c r="O370" s="5" t="s">
        <v>7</v>
      </c>
      <c r="P370" s="2">
        <v>97.815539999999999</v>
      </c>
      <c r="Q370" s="27">
        <f t="shared" ref="Q370" si="330">AVERAGE(P370:P374)</f>
        <v>101.79760400000001</v>
      </c>
      <c r="R370" s="38"/>
      <c r="S370" s="1">
        <v>21.176210000000001</v>
      </c>
      <c r="T370" s="30">
        <f t="shared" ref="T370" si="331">AVERAGE(S370:S374)</f>
        <v>25.356180000000002</v>
      </c>
      <c r="U370" s="41"/>
    </row>
    <row r="371" spans="1:21" ht="16" x14ac:dyDescent="0.2">
      <c r="A371" s="31"/>
      <c r="B371" s="33"/>
      <c r="C371" s="26"/>
      <c r="D371" s="4" t="s">
        <v>8</v>
      </c>
      <c r="E371" s="2">
        <v>128.12824000000001</v>
      </c>
      <c r="F371" s="28"/>
      <c r="G371" s="38"/>
      <c r="H371" s="2">
        <v>25.267209999999999</v>
      </c>
      <c r="I371" s="28"/>
      <c r="J371" s="38"/>
      <c r="L371" s="31"/>
      <c r="M371" s="33"/>
      <c r="N371" s="26"/>
      <c r="O371" s="5" t="s">
        <v>8</v>
      </c>
      <c r="P371" s="2">
        <v>98.022450000000006</v>
      </c>
      <c r="Q371" s="28"/>
      <c r="R371" s="38"/>
      <c r="S371" s="1">
        <v>30.531640000000003</v>
      </c>
      <c r="T371" s="31"/>
      <c r="U371" s="41"/>
    </row>
    <row r="372" spans="1:21" ht="16" x14ac:dyDescent="0.2">
      <c r="A372" s="31"/>
      <c r="B372" s="33"/>
      <c r="C372" s="26"/>
      <c r="D372" s="4" t="s">
        <v>9</v>
      </c>
      <c r="E372" s="2">
        <v>96.847090000000009</v>
      </c>
      <c r="F372" s="28"/>
      <c r="G372" s="38"/>
      <c r="H372" s="2">
        <v>29.486049999999999</v>
      </c>
      <c r="I372" s="28"/>
      <c r="J372" s="38"/>
      <c r="L372" s="31"/>
      <c r="M372" s="33"/>
      <c r="N372" s="26"/>
      <c r="O372" s="5" t="s">
        <v>9</v>
      </c>
      <c r="P372" s="2">
        <v>113.05941000000001</v>
      </c>
      <c r="Q372" s="28"/>
      <c r="R372" s="38"/>
      <c r="S372" s="1">
        <v>23.26511</v>
      </c>
      <c r="T372" s="31"/>
      <c r="U372" s="41"/>
    </row>
    <row r="373" spans="1:21" ht="16" x14ac:dyDescent="0.2">
      <c r="A373" s="31"/>
      <c r="B373" s="33"/>
      <c r="C373" s="26"/>
      <c r="D373" s="4" t="s">
        <v>10</v>
      </c>
      <c r="E373" s="2">
        <v>102.27462</v>
      </c>
      <c r="F373" s="28"/>
      <c r="G373" s="38"/>
      <c r="H373" s="2">
        <v>22.281950000000002</v>
      </c>
      <c r="I373" s="28"/>
      <c r="J373" s="38"/>
      <c r="L373" s="31"/>
      <c r="M373" s="33"/>
      <c r="N373" s="26"/>
      <c r="O373" s="5" t="s">
        <v>10</v>
      </c>
      <c r="P373" s="2">
        <v>122.29745000000001</v>
      </c>
      <c r="Q373" s="28"/>
      <c r="R373" s="38"/>
      <c r="S373" s="1">
        <v>30.54073</v>
      </c>
      <c r="T373" s="31"/>
      <c r="U373" s="41"/>
    </row>
    <row r="374" spans="1:21" ht="16" x14ac:dyDescent="0.2">
      <c r="A374" s="31"/>
      <c r="B374" s="33"/>
      <c r="C374" s="26"/>
      <c r="D374" s="4" t="s">
        <v>11</v>
      </c>
      <c r="E374" s="2">
        <v>99.215390000000014</v>
      </c>
      <c r="F374" s="29"/>
      <c r="G374" s="38"/>
      <c r="H374" s="2">
        <v>20.38785</v>
      </c>
      <c r="I374" s="29"/>
      <c r="J374" s="38"/>
      <c r="L374" s="31"/>
      <c r="M374" s="33"/>
      <c r="N374" s="26"/>
      <c r="O374" s="5" t="s">
        <v>11</v>
      </c>
      <c r="P374" s="2">
        <v>77.793170000000003</v>
      </c>
      <c r="Q374" s="29"/>
      <c r="R374" s="38"/>
      <c r="S374" s="1">
        <v>21.267209999999999</v>
      </c>
      <c r="T374" s="32"/>
      <c r="U374" s="41"/>
    </row>
    <row r="375" spans="1:21" ht="16" x14ac:dyDescent="0.2">
      <c r="A375" s="31"/>
      <c r="B375" s="33"/>
      <c r="C375" s="26">
        <v>5</v>
      </c>
      <c r="D375" s="4" t="s">
        <v>7</v>
      </c>
      <c r="E375" s="2">
        <v>115.27737999999999</v>
      </c>
      <c r="F375" s="27">
        <f t="shared" ref="F375" si="332">AVERAGE(E375:E379)</f>
        <v>112.280542</v>
      </c>
      <c r="G375" s="38"/>
      <c r="H375" s="2">
        <v>25.458479999999998</v>
      </c>
      <c r="I375" s="27">
        <f t="shared" ref="I375" si="333">AVERAGE(H375:H379)</f>
        <v>26.442398000000004</v>
      </c>
      <c r="J375" s="38"/>
      <c r="L375" s="31"/>
      <c r="M375" s="33"/>
      <c r="N375" s="26">
        <v>5</v>
      </c>
      <c r="O375" s="5" t="s">
        <v>7</v>
      </c>
      <c r="P375" s="2">
        <v>145.67616000000001</v>
      </c>
      <c r="Q375" s="27">
        <f t="shared" ref="Q375" si="334">AVERAGE(P375:P379)</f>
        <v>140.689874</v>
      </c>
      <c r="R375" s="38"/>
      <c r="S375" s="1">
        <v>21.267209999999999</v>
      </c>
      <c r="T375" s="30">
        <f t="shared" ref="T375" si="335">AVERAGE(S375:S379)</f>
        <v>22.956896</v>
      </c>
      <c r="U375" s="41"/>
    </row>
    <row r="376" spans="1:21" ht="16" x14ac:dyDescent="0.2">
      <c r="A376" s="31"/>
      <c r="B376" s="33"/>
      <c r="C376" s="26"/>
      <c r="D376" s="4" t="s">
        <v>8</v>
      </c>
      <c r="E376" s="2">
        <v>93.984570000000005</v>
      </c>
      <c r="F376" s="28"/>
      <c r="G376" s="38"/>
      <c r="H376" s="2">
        <v>26.418949999999999</v>
      </c>
      <c r="I376" s="28"/>
      <c r="J376" s="38"/>
      <c r="L376" s="31"/>
      <c r="M376" s="33"/>
      <c r="N376" s="26"/>
      <c r="O376" s="5" t="s">
        <v>8</v>
      </c>
      <c r="P376" s="2">
        <v>144.96831</v>
      </c>
      <c r="Q376" s="28"/>
      <c r="R376" s="38"/>
      <c r="S376" s="1">
        <v>27.59357</v>
      </c>
      <c r="T376" s="31"/>
      <c r="U376" s="41"/>
    </row>
    <row r="377" spans="1:21" ht="16" x14ac:dyDescent="0.2">
      <c r="A377" s="31"/>
      <c r="B377" s="33"/>
      <c r="C377" s="26"/>
      <c r="D377" s="4" t="s">
        <v>9</v>
      </c>
      <c r="E377" s="2">
        <v>111.92895</v>
      </c>
      <c r="F377" s="28"/>
      <c r="G377" s="38"/>
      <c r="H377" s="2">
        <v>32.684040000000003</v>
      </c>
      <c r="I377" s="28"/>
      <c r="J377" s="38"/>
      <c r="L377" s="31"/>
      <c r="M377" s="33"/>
      <c r="N377" s="26"/>
      <c r="O377" s="5" t="s">
        <v>9</v>
      </c>
      <c r="P377" s="2">
        <v>148.29517999999999</v>
      </c>
      <c r="Q377" s="28"/>
      <c r="R377" s="38"/>
      <c r="S377" s="1">
        <v>20.38335</v>
      </c>
      <c r="T377" s="31"/>
      <c r="U377" s="41"/>
    </row>
    <row r="378" spans="1:21" ht="16" x14ac:dyDescent="0.2">
      <c r="A378" s="31"/>
      <c r="B378" s="33"/>
      <c r="C378" s="26"/>
      <c r="D378" s="4" t="s">
        <v>10</v>
      </c>
      <c r="E378" s="2">
        <v>129.47630999999998</v>
      </c>
      <c r="F378" s="28"/>
      <c r="G378" s="38"/>
      <c r="H378" s="2">
        <v>34.485100000000003</v>
      </c>
      <c r="I378" s="28"/>
      <c r="J378" s="38"/>
      <c r="L378" s="31"/>
      <c r="M378" s="33"/>
      <c r="N378" s="26"/>
      <c r="O378" s="5" t="s">
        <v>10</v>
      </c>
      <c r="P378" s="2">
        <v>147.92079999999999</v>
      </c>
      <c r="Q378" s="28"/>
      <c r="R378" s="38"/>
      <c r="S378" s="1">
        <v>24.52449</v>
      </c>
      <c r="T378" s="31"/>
      <c r="U378" s="41"/>
    </row>
    <row r="379" spans="1:21" ht="16" x14ac:dyDescent="0.2">
      <c r="A379" s="32"/>
      <c r="B379" s="33"/>
      <c r="C379" s="26"/>
      <c r="D379" s="4" t="s">
        <v>11</v>
      </c>
      <c r="E379" s="2">
        <v>110.73549999999999</v>
      </c>
      <c r="F379" s="29"/>
      <c r="G379" s="39"/>
      <c r="H379" s="2">
        <v>13.165419999999999</v>
      </c>
      <c r="I379" s="29"/>
      <c r="J379" s="39"/>
      <c r="L379" s="32"/>
      <c r="M379" s="33"/>
      <c r="N379" s="26"/>
      <c r="O379" s="5" t="s">
        <v>11</v>
      </c>
      <c r="P379" s="2">
        <v>116.58892</v>
      </c>
      <c r="Q379" s="29"/>
      <c r="R379" s="39"/>
      <c r="S379" s="1">
        <v>21.015859999999996</v>
      </c>
      <c r="T379" s="32"/>
      <c r="U379" s="42"/>
    </row>
    <row r="380" spans="1:21" ht="16" x14ac:dyDescent="0.2">
      <c r="A380" s="30" t="s">
        <v>5</v>
      </c>
      <c r="B380" s="33">
        <v>1</v>
      </c>
      <c r="C380" s="26">
        <v>1</v>
      </c>
      <c r="D380" s="4" t="s">
        <v>7</v>
      </c>
      <c r="E380" s="2">
        <v>72.622460000000004</v>
      </c>
      <c r="F380" s="27">
        <f t="shared" ref="F380" si="336">AVERAGE(E380:E384)</f>
        <v>72.185110000000009</v>
      </c>
      <c r="G380" s="37">
        <f>AVERAGE(F380:F404)</f>
        <v>119.65883760000001</v>
      </c>
      <c r="H380" s="2">
        <v>12.7591</v>
      </c>
      <c r="I380" s="27">
        <f t="shared" ref="I380" si="337">AVERAGE(H380:H384)</f>
        <v>24.235666000000002</v>
      </c>
      <c r="J380" s="37">
        <f t="shared" ref="J380" si="338">AVERAGE(I380:I404)</f>
        <v>24.7655624</v>
      </c>
      <c r="L380" s="30" t="s">
        <v>22</v>
      </c>
      <c r="M380" s="33">
        <v>1</v>
      </c>
      <c r="N380" s="26">
        <v>1</v>
      </c>
      <c r="O380" s="5" t="s">
        <v>7</v>
      </c>
      <c r="P380" s="2">
        <v>128.63093000000001</v>
      </c>
      <c r="Q380" s="27">
        <f t="shared" ref="Q380" si="339">AVERAGE(P380:P384)</f>
        <v>126.243892</v>
      </c>
      <c r="R380" s="37">
        <f t="shared" ref="R380" si="340">AVERAGE(Q380:Q404)</f>
        <v>128.88789199999999</v>
      </c>
      <c r="S380" s="1">
        <v>18.384450000000001</v>
      </c>
      <c r="T380" s="30">
        <f t="shared" ref="T380" si="341">AVERAGE(S380:S384)</f>
        <v>23.417898000000001</v>
      </c>
      <c r="U380" s="40">
        <f t="shared" ref="U380" si="342">AVERAGE(T380:T404)</f>
        <v>24.186698</v>
      </c>
    </row>
    <row r="381" spans="1:21" ht="16" x14ac:dyDescent="0.2">
      <c r="A381" s="31"/>
      <c r="B381" s="33"/>
      <c r="C381" s="26"/>
      <c r="D381" s="4" t="s">
        <v>8</v>
      </c>
      <c r="E381" s="2">
        <v>91.561720000000008</v>
      </c>
      <c r="F381" s="28"/>
      <c r="G381" s="38"/>
      <c r="H381" s="2">
        <v>19.128889999999998</v>
      </c>
      <c r="I381" s="28"/>
      <c r="J381" s="38"/>
      <c r="L381" s="31"/>
      <c r="M381" s="33"/>
      <c r="N381" s="26"/>
      <c r="O381" s="5" t="s">
        <v>8</v>
      </c>
      <c r="P381" s="2">
        <v>102.50048000000001</v>
      </c>
      <c r="Q381" s="28"/>
      <c r="R381" s="38"/>
      <c r="S381" s="1">
        <v>25.8873</v>
      </c>
      <c r="T381" s="31"/>
      <c r="U381" s="41"/>
    </row>
    <row r="382" spans="1:21" ht="16" x14ac:dyDescent="0.2">
      <c r="A382" s="31"/>
      <c r="B382" s="33"/>
      <c r="C382" s="26"/>
      <c r="D382" s="4" t="s">
        <v>9</v>
      </c>
      <c r="E382" s="2">
        <v>91.561720000000008</v>
      </c>
      <c r="F382" s="28"/>
      <c r="G382" s="38"/>
      <c r="H382" s="2">
        <v>20.05969</v>
      </c>
      <c r="I382" s="28"/>
      <c r="J382" s="38"/>
      <c r="L382" s="31"/>
      <c r="M382" s="33"/>
      <c r="N382" s="26"/>
      <c r="O382" s="5" t="s">
        <v>9</v>
      </c>
      <c r="P382" s="2">
        <v>138.16352999999998</v>
      </c>
      <c r="Q382" s="28"/>
      <c r="R382" s="38"/>
      <c r="S382" s="1">
        <v>19.009910000000001</v>
      </c>
      <c r="T382" s="31"/>
      <c r="U382" s="41"/>
    </row>
    <row r="383" spans="1:21" ht="16" x14ac:dyDescent="0.2">
      <c r="A383" s="31"/>
      <c r="B383" s="33"/>
      <c r="C383" s="26"/>
      <c r="D383" s="4" t="s">
        <v>10</v>
      </c>
      <c r="E383" s="2">
        <v>81.223689999999991</v>
      </c>
      <c r="F383" s="28"/>
      <c r="G383" s="38"/>
      <c r="H383" s="2">
        <v>25.996570000000002</v>
      </c>
      <c r="I383" s="28"/>
      <c r="J383" s="38"/>
      <c r="L383" s="31"/>
      <c r="M383" s="33"/>
      <c r="N383" s="26"/>
      <c r="O383" s="5" t="s">
        <v>10</v>
      </c>
      <c r="P383" s="2">
        <v>120.81621</v>
      </c>
      <c r="Q383" s="28"/>
      <c r="R383" s="38"/>
      <c r="S383" s="1">
        <v>27.907710000000002</v>
      </c>
      <c r="T383" s="31"/>
      <c r="U383" s="41"/>
    </row>
    <row r="384" spans="1:21" ht="16" x14ac:dyDescent="0.2">
      <c r="A384" s="31"/>
      <c r="B384" s="33"/>
      <c r="C384" s="26"/>
      <c r="D384" s="4" t="s">
        <v>11</v>
      </c>
      <c r="E384" s="2">
        <v>23.955960000000001</v>
      </c>
      <c r="F384" s="29"/>
      <c r="G384" s="38"/>
      <c r="H384" s="2">
        <v>43.234080000000006</v>
      </c>
      <c r="I384" s="29"/>
      <c r="J384" s="38"/>
      <c r="L384" s="31"/>
      <c r="M384" s="33"/>
      <c r="N384" s="26"/>
      <c r="O384" s="5" t="s">
        <v>11</v>
      </c>
      <c r="P384" s="2">
        <v>141.10830999999999</v>
      </c>
      <c r="Q384" s="29"/>
      <c r="R384" s="38"/>
      <c r="S384" s="1">
        <v>25.900120000000001</v>
      </c>
      <c r="T384" s="32"/>
      <c r="U384" s="41"/>
    </row>
    <row r="385" spans="1:21" ht="16" x14ac:dyDescent="0.2">
      <c r="A385" s="31"/>
      <c r="B385" s="33"/>
      <c r="C385" s="26">
        <v>2</v>
      </c>
      <c r="D385" s="4" t="s">
        <v>7</v>
      </c>
      <c r="E385" s="2">
        <v>72.532430000000005</v>
      </c>
      <c r="F385" s="27">
        <f t="shared" ref="F385" si="343">AVERAGE(E385:E389)</f>
        <v>67.581036000000012</v>
      </c>
      <c r="G385" s="38"/>
      <c r="H385" s="2">
        <v>16.944929999999999</v>
      </c>
      <c r="I385" s="27">
        <f t="shared" ref="I385" si="344">AVERAGE(H385:H389)</f>
        <v>16.538062</v>
      </c>
      <c r="J385" s="38"/>
      <c r="L385" s="31"/>
      <c r="M385" s="33"/>
      <c r="N385" s="26">
        <v>2</v>
      </c>
      <c r="O385" s="5" t="s">
        <v>7</v>
      </c>
      <c r="P385" s="2">
        <v>148.63093000000001</v>
      </c>
      <c r="Q385" s="27">
        <f t="shared" ref="Q385" si="345">AVERAGE(P385:P389)</f>
        <v>127.76389199999998</v>
      </c>
      <c r="R385" s="38"/>
      <c r="S385" s="1">
        <v>18.384450000000001</v>
      </c>
      <c r="T385" s="30">
        <f t="shared" ref="T385" si="346">AVERAGE(S385:S389)</f>
        <v>24.017897999999999</v>
      </c>
      <c r="U385" s="41"/>
    </row>
    <row r="386" spans="1:21" ht="16" x14ac:dyDescent="0.2">
      <c r="A386" s="31"/>
      <c r="B386" s="33"/>
      <c r="C386" s="26"/>
      <c r="D386" s="4" t="s">
        <v>8</v>
      </c>
      <c r="E386" s="2">
        <v>57.972520000000003</v>
      </c>
      <c r="F386" s="28"/>
      <c r="G386" s="38"/>
      <c r="H386" s="2">
        <v>14.254010000000001</v>
      </c>
      <c r="I386" s="28"/>
      <c r="J386" s="38"/>
      <c r="L386" s="31"/>
      <c r="M386" s="33"/>
      <c r="N386" s="26"/>
      <c r="O386" s="5" t="s">
        <v>8</v>
      </c>
      <c r="P386" s="2">
        <v>111.20048000000001</v>
      </c>
      <c r="Q386" s="28"/>
      <c r="R386" s="38"/>
      <c r="S386" s="1">
        <v>27.8873</v>
      </c>
      <c r="T386" s="31"/>
      <c r="U386" s="41"/>
    </row>
    <row r="387" spans="1:21" ht="16" x14ac:dyDescent="0.2">
      <c r="A387" s="31"/>
      <c r="B387" s="33"/>
      <c r="C387" s="26"/>
      <c r="D387" s="4" t="s">
        <v>9</v>
      </c>
      <c r="E387" s="2">
        <v>66.951120000000003</v>
      </c>
      <c r="F387" s="28"/>
      <c r="G387" s="38"/>
      <c r="H387" s="2">
        <v>17.971520000000002</v>
      </c>
      <c r="I387" s="28"/>
      <c r="J387" s="38"/>
      <c r="L387" s="31"/>
      <c r="M387" s="33"/>
      <c r="N387" s="26"/>
      <c r="O387" s="5" t="s">
        <v>9</v>
      </c>
      <c r="P387" s="2">
        <v>128.16352999999998</v>
      </c>
      <c r="Q387" s="28"/>
      <c r="R387" s="38"/>
      <c r="S387" s="1">
        <v>26.009910000000001</v>
      </c>
      <c r="T387" s="31"/>
      <c r="U387" s="41"/>
    </row>
    <row r="388" spans="1:21" ht="16" x14ac:dyDescent="0.2">
      <c r="A388" s="31"/>
      <c r="B388" s="33"/>
      <c r="C388" s="26"/>
      <c r="D388" s="4" t="s">
        <v>10</v>
      </c>
      <c r="E388" s="2">
        <v>73.833449999999999</v>
      </c>
      <c r="F388" s="28"/>
      <c r="G388" s="38"/>
      <c r="H388" s="2">
        <v>18.34168</v>
      </c>
      <c r="I388" s="28"/>
      <c r="J388" s="38"/>
      <c r="L388" s="31"/>
      <c r="M388" s="33"/>
      <c r="N388" s="26"/>
      <c r="O388" s="5" t="s">
        <v>10</v>
      </c>
      <c r="P388" s="2">
        <v>120.81621</v>
      </c>
      <c r="Q388" s="28"/>
      <c r="R388" s="38"/>
      <c r="S388" s="1">
        <v>27.907710000000002</v>
      </c>
      <c r="T388" s="31"/>
      <c r="U388" s="41"/>
    </row>
    <row r="389" spans="1:21" ht="16" x14ac:dyDescent="0.2">
      <c r="A389" s="31"/>
      <c r="B389" s="33"/>
      <c r="C389" s="26"/>
      <c r="D389" s="4" t="s">
        <v>11</v>
      </c>
      <c r="E389" s="2">
        <v>66.615659999999991</v>
      </c>
      <c r="F389" s="29"/>
      <c r="G389" s="38"/>
      <c r="H389" s="2">
        <v>15.17817</v>
      </c>
      <c r="I389" s="29"/>
      <c r="J389" s="38"/>
      <c r="L389" s="31"/>
      <c r="M389" s="33"/>
      <c r="N389" s="26"/>
      <c r="O389" s="5" t="s">
        <v>11</v>
      </c>
      <c r="P389" s="2">
        <v>130.00830999999999</v>
      </c>
      <c r="Q389" s="29"/>
      <c r="R389" s="38"/>
      <c r="S389" s="1">
        <v>19.900120000000001</v>
      </c>
      <c r="T389" s="32"/>
      <c r="U389" s="41"/>
    </row>
    <row r="390" spans="1:21" ht="16" x14ac:dyDescent="0.2">
      <c r="A390" s="31"/>
      <c r="B390" s="33"/>
      <c r="C390" s="26">
        <v>3</v>
      </c>
      <c r="D390" s="4" t="s">
        <v>7</v>
      </c>
      <c r="E390" s="2">
        <v>138.47261</v>
      </c>
      <c r="F390" s="27">
        <f t="shared" ref="F390" si="347">AVERAGE(E390:E394)</f>
        <v>139.68538800000002</v>
      </c>
      <c r="G390" s="38"/>
      <c r="H390" s="2">
        <v>18.57367</v>
      </c>
      <c r="I390" s="27">
        <f t="shared" ref="I390" si="348">AVERAGE(H390:H394)</f>
        <v>26.283188000000003</v>
      </c>
      <c r="J390" s="38"/>
      <c r="L390" s="31"/>
      <c r="M390" s="33"/>
      <c r="N390" s="26">
        <v>3</v>
      </c>
      <c r="O390" s="5" t="s">
        <v>7</v>
      </c>
      <c r="P390" s="2">
        <v>137.63093000000001</v>
      </c>
      <c r="Q390" s="27">
        <f t="shared" ref="Q390" si="349">AVERAGE(P390:P394)</f>
        <v>135.44389199999998</v>
      </c>
      <c r="R390" s="38"/>
      <c r="S390" s="1">
        <v>25.384450000000001</v>
      </c>
      <c r="T390" s="30">
        <f t="shared" ref="T390" si="350">AVERAGE(S390:S394)</f>
        <v>25.461897999999998</v>
      </c>
      <c r="U390" s="41"/>
    </row>
    <row r="391" spans="1:21" ht="16" x14ac:dyDescent="0.2">
      <c r="A391" s="31"/>
      <c r="B391" s="33"/>
      <c r="C391" s="26"/>
      <c r="D391" s="4" t="s">
        <v>8</v>
      </c>
      <c r="E391" s="2">
        <v>136.822</v>
      </c>
      <c r="F391" s="28"/>
      <c r="G391" s="38"/>
      <c r="H391" s="2">
        <v>30.015360000000001</v>
      </c>
      <c r="I391" s="28"/>
      <c r="J391" s="38"/>
      <c r="L391" s="31"/>
      <c r="M391" s="33"/>
      <c r="N391" s="26"/>
      <c r="O391" s="5" t="s">
        <v>8</v>
      </c>
      <c r="P391" s="2">
        <v>142.50048000000001</v>
      </c>
      <c r="Q391" s="28"/>
      <c r="R391" s="38"/>
      <c r="S391" s="1">
        <v>28.107299999999999</v>
      </c>
      <c r="T391" s="31"/>
      <c r="U391" s="41"/>
    </row>
    <row r="392" spans="1:21" ht="16" x14ac:dyDescent="0.2">
      <c r="A392" s="31"/>
      <c r="B392" s="33"/>
      <c r="C392" s="26"/>
      <c r="D392" s="4" t="s">
        <v>9</v>
      </c>
      <c r="E392" s="2">
        <v>239.88675000000001</v>
      </c>
      <c r="F392" s="28"/>
      <c r="G392" s="38"/>
      <c r="H392" s="2">
        <v>35.578679999999999</v>
      </c>
      <c r="I392" s="28"/>
      <c r="J392" s="38"/>
      <c r="L392" s="31"/>
      <c r="M392" s="33"/>
      <c r="N392" s="26"/>
      <c r="O392" s="5" t="s">
        <v>9</v>
      </c>
      <c r="P392" s="2">
        <v>135.16352999999998</v>
      </c>
      <c r="Q392" s="28"/>
      <c r="R392" s="38"/>
      <c r="S392" s="1">
        <v>19.009910000000001</v>
      </c>
      <c r="T392" s="31"/>
      <c r="U392" s="41"/>
    </row>
    <row r="393" spans="1:21" ht="16" x14ac:dyDescent="0.2">
      <c r="A393" s="31"/>
      <c r="B393" s="33"/>
      <c r="C393" s="26"/>
      <c r="D393" s="4" t="s">
        <v>10</v>
      </c>
      <c r="E393" s="2">
        <v>112.90048</v>
      </c>
      <c r="F393" s="28"/>
      <c r="G393" s="38"/>
      <c r="H393" s="2">
        <v>28.295810000000003</v>
      </c>
      <c r="I393" s="28"/>
      <c r="J393" s="38"/>
      <c r="L393" s="31"/>
      <c r="M393" s="33"/>
      <c r="N393" s="26"/>
      <c r="O393" s="5" t="s">
        <v>10</v>
      </c>
      <c r="P393" s="2">
        <v>120.81621</v>
      </c>
      <c r="Q393" s="28"/>
      <c r="R393" s="38"/>
      <c r="S393" s="1">
        <v>27.907710000000002</v>
      </c>
      <c r="T393" s="31"/>
      <c r="U393" s="41"/>
    </row>
    <row r="394" spans="1:21" ht="16" x14ac:dyDescent="0.2">
      <c r="A394" s="31"/>
      <c r="B394" s="33"/>
      <c r="C394" s="26"/>
      <c r="D394" s="4" t="s">
        <v>11</v>
      </c>
      <c r="E394" s="2">
        <v>70.345100000000002</v>
      </c>
      <c r="F394" s="29"/>
      <c r="G394" s="38"/>
      <c r="H394" s="2">
        <v>18.95242</v>
      </c>
      <c r="I394" s="29"/>
      <c r="J394" s="38"/>
      <c r="L394" s="31"/>
      <c r="M394" s="33"/>
      <c r="N394" s="26"/>
      <c r="O394" s="5" t="s">
        <v>11</v>
      </c>
      <c r="P394" s="2">
        <v>141.10830999999999</v>
      </c>
      <c r="Q394" s="29"/>
      <c r="R394" s="38"/>
      <c r="S394" s="1">
        <v>26.900120000000001</v>
      </c>
      <c r="T394" s="32"/>
      <c r="U394" s="41"/>
    </row>
    <row r="395" spans="1:21" ht="16" x14ac:dyDescent="0.2">
      <c r="A395" s="31"/>
      <c r="B395" s="33"/>
      <c r="C395" s="26">
        <v>4</v>
      </c>
      <c r="D395" s="4" t="s">
        <v>7</v>
      </c>
      <c r="E395" s="2">
        <v>209.84741000000002</v>
      </c>
      <c r="F395" s="27">
        <f t="shared" ref="F395" si="351">AVERAGE(E395:E399)</f>
        <v>125.110662</v>
      </c>
      <c r="G395" s="38"/>
      <c r="H395" s="2">
        <v>33.186819999999997</v>
      </c>
      <c r="I395" s="27">
        <f t="shared" ref="I395" si="352">AVERAGE(H395:H399)</f>
        <v>29.536446000000002</v>
      </c>
      <c r="J395" s="38"/>
      <c r="L395" s="31"/>
      <c r="M395" s="33"/>
      <c r="N395" s="26">
        <v>4</v>
      </c>
      <c r="O395" s="5" t="s">
        <v>7</v>
      </c>
      <c r="P395" s="2">
        <v>102.13093000000001</v>
      </c>
      <c r="Q395" s="27">
        <f t="shared" ref="Q395" si="353">AVERAGE(P395:P399)</f>
        <v>118.94389200000001</v>
      </c>
      <c r="R395" s="38"/>
      <c r="S395" s="1">
        <v>18.384450000000001</v>
      </c>
      <c r="T395" s="30">
        <f t="shared" ref="T395" si="354">AVERAGE(S395:S399)</f>
        <v>23.817898</v>
      </c>
      <c r="U395" s="41"/>
    </row>
    <row r="396" spans="1:21" ht="16" x14ac:dyDescent="0.2">
      <c r="A396" s="31"/>
      <c r="B396" s="33"/>
      <c r="C396" s="26"/>
      <c r="D396" s="4" t="s">
        <v>8</v>
      </c>
      <c r="E396" s="2">
        <v>108.31452999999999</v>
      </c>
      <c r="F396" s="28"/>
      <c r="G396" s="38"/>
      <c r="H396" s="2">
        <v>38.032649999999997</v>
      </c>
      <c r="I396" s="28"/>
      <c r="J396" s="38"/>
      <c r="L396" s="31"/>
      <c r="M396" s="33"/>
      <c r="N396" s="26"/>
      <c r="O396" s="5" t="s">
        <v>8</v>
      </c>
      <c r="P396" s="2">
        <v>122.50048000000001</v>
      </c>
      <c r="Q396" s="28"/>
      <c r="R396" s="38"/>
      <c r="S396" s="1">
        <v>25.8873</v>
      </c>
      <c r="T396" s="31"/>
      <c r="U396" s="41"/>
    </row>
    <row r="397" spans="1:21" ht="16" x14ac:dyDescent="0.2">
      <c r="A397" s="31"/>
      <c r="B397" s="33"/>
      <c r="C397" s="26"/>
      <c r="D397" s="4" t="s">
        <v>9</v>
      </c>
      <c r="E397" s="2">
        <v>101.8274</v>
      </c>
      <c r="F397" s="28"/>
      <c r="G397" s="38"/>
      <c r="H397" s="2">
        <v>29.149259999999998</v>
      </c>
      <c r="I397" s="28"/>
      <c r="J397" s="38"/>
      <c r="L397" s="31"/>
      <c r="M397" s="33"/>
      <c r="N397" s="26"/>
      <c r="O397" s="5" t="s">
        <v>9</v>
      </c>
      <c r="P397" s="2">
        <v>138.16352999999998</v>
      </c>
      <c r="Q397" s="28"/>
      <c r="R397" s="38"/>
      <c r="S397" s="1">
        <v>23.009910000000001</v>
      </c>
      <c r="T397" s="31"/>
      <c r="U397" s="41"/>
    </row>
    <row r="398" spans="1:21" ht="16" x14ac:dyDescent="0.2">
      <c r="A398" s="31"/>
      <c r="B398" s="33"/>
      <c r="C398" s="26"/>
      <c r="D398" s="4" t="s">
        <v>10</v>
      </c>
      <c r="E398" s="2">
        <v>93.248729999999995</v>
      </c>
      <c r="F398" s="28"/>
      <c r="G398" s="38"/>
      <c r="H398" s="2">
        <v>30.691140000000001</v>
      </c>
      <c r="I398" s="28"/>
      <c r="J398" s="38"/>
      <c r="L398" s="31"/>
      <c r="M398" s="33"/>
      <c r="N398" s="26"/>
      <c r="O398" s="5" t="s">
        <v>10</v>
      </c>
      <c r="P398" s="2">
        <v>120.81621</v>
      </c>
      <c r="Q398" s="28"/>
      <c r="R398" s="38"/>
      <c r="S398" s="1">
        <v>27.907710000000002</v>
      </c>
      <c r="T398" s="31"/>
      <c r="U398" s="41"/>
    </row>
    <row r="399" spans="1:21" ht="16" x14ac:dyDescent="0.2">
      <c r="A399" s="31"/>
      <c r="B399" s="33"/>
      <c r="C399" s="26"/>
      <c r="D399" s="4" t="s">
        <v>11</v>
      </c>
      <c r="E399" s="2">
        <v>112.31523999999999</v>
      </c>
      <c r="F399" s="29"/>
      <c r="G399" s="38"/>
      <c r="H399" s="2">
        <v>16.62236</v>
      </c>
      <c r="I399" s="29"/>
      <c r="J399" s="38"/>
      <c r="L399" s="31"/>
      <c r="M399" s="33"/>
      <c r="N399" s="26"/>
      <c r="O399" s="5" t="s">
        <v>11</v>
      </c>
      <c r="P399" s="2">
        <v>111.10831</v>
      </c>
      <c r="Q399" s="29"/>
      <c r="R399" s="38"/>
      <c r="S399" s="1">
        <v>23.900120000000001</v>
      </c>
      <c r="T399" s="32"/>
      <c r="U399" s="41"/>
    </row>
    <row r="400" spans="1:21" ht="16" x14ac:dyDescent="0.2">
      <c r="A400" s="31"/>
      <c r="B400" s="33"/>
      <c r="C400" s="26">
        <v>5</v>
      </c>
      <c r="D400" s="4" t="s">
        <v>7</v>
      </c>
      <c r="E400" s="2">
        <v>162.93967000000001</v>
      </c>
      <c r="F400" s="27">
        <f t="shared" ref="F400" si="355">AVERAGE(E400:E404)</f>
        <v>193.73199200000002</v>
      </c>
      <c r="G400" s="38"/>
      <c r="H400" s="2">
        <v>21.60388</v>
      </c>
      <c r="I400" s="27">
        <f t="shared" ref="I400" si="356">AVERAGE(H400:H404)</f>
        <v>27.234449999999999</v>
      </c>
      <c r="J400" s="38"/>
      <c r="L400" s="31"/>
      <c r="M400" s="33"/>
      <c r="N400" s="26">
        <v>5</v>
      </c>
      <c r="O400" s="5" t="s">
        <v>7</v>
      </c>
      <c r="P400" s="2">
        <v>148.63093000000001</v>
      </c>
      <c r="Q400" s="27">
        <f t="shared" ref="Q400" si="357">AVERAGE(P400:P404)</f>
        <v>136.04389199999997</v>
      </c>
      <c r="R400" s="38"/>
      <c r="S400" s="1">
        <v>19.384450000000001</v>
      </c>
      <c r="T400" s="30">
        <f t="shared" ref="T400" si="358">AVERAGE(S400:S404)</f>
        <v>24.217897999999998</v>
      </c>
      <c r="U400" s="41"/>
    </row>
    <row r="401" spans="1:21" ht="16" x14ac:dyDescent="0.2">
      <c r="A401" s="31"/>
      <c r="B401" s="33"/>
      <c r="C401" s="26"/>
      <c r="D401" s="4" t="s">
        <v>8</v>
      </c>
      <c r="E401" s="2">
        <v>169.38324</v>
      </c>
      <c r="F401" s="28"/>
      <c r="G401" s="38"/>
      <c r="H401" s="2">
        <v>22.074050000000003</v>
      </c>
      <c r="I401" s="28"/>
      <c r="J401" s="38"/>
      <c r="L401" s="31"/>
      <c r="M401" s="33"/>
      <c r="N401" s="26"/>
      <c r="O401" s="5" t="s">
        <v>8</v>
      </c>
      <c r="P401" s="2">
        <v>131.50048000000001</v>
      </c>
      <c r="Q401" s="28"/>
      <c r="R401" s="38"/>
      <c r="S401" s="1">
        <v>25.8873</v>
      </c>
      <c r="T401" s="31"/>
      <c r="U401" s="41"/>
    </row>
    <row r="402" spans="1:21" ht="16" x14ac:dyDescent="0.2">
      <c r="A402" s="31"/>
      <c r="B402" s="33"/>
      <c r="C402" s="26"/>
      <c r="D402" s="4" t="s">
        <v>9</v>
      </c>
      <c r="E402" s="2">
        <v>232.61430000000001</v>
      </c>
      <c r="F402" s="28"/>
      <c r="G402" s="38"/>
      <c r="H402" s="2">
        <v>39.188270000000003</v>
      </c>
      <c r="I402" s="28"/>
      <c r="J402" s="38"/>
      <c r="L402" s="31"/>
      <c r="M402" s="33"/>
      <c r="N402" s="26"/>
      <c r="O402" s="5" t="s">
        <v>9</v>
      </c>
      <c r="P402" s="2">
        <v>138.16352999999998</v>
      </c>
      <c r="Q402" s="28"/>
      <c r="R402" s="38"/>
      <c r="S402" s="1">
        <v>26.009910000000001</v>
      </c>
      <c r="T402" s="31"/>
      <c r="U402" s="41"/>
    </row>
    <row r="403" spans="1:21" ht="16" x14ac:dyDescent="0.2">
      <c r="A403" s="31"/>
      <c r="B403" s="33"/>
      <c r="C403" s="26"/>
      <c r="D403" s="4" t="s">
        <v>10</v>
      </c>
      <c r="E403" s="2">
        <v>246.62585999999999</v>
      </c>
      <c r="F403" s="28"/>
      <c r="G403" s="38"/>
      <c r="H403" s="2">
        <v>28.704169999999998</v>
      </c>
      <c r="I403" s="28"/>
      <c r="J403" s="38"/>
      <c r="L403" s="31"/>
      <c r="M403" s="33"/>
      <c r="N403" s="26"/>
      <c r="O403" s="5" t="s">
        <v>10</v>
      </c>
      <c r="P403" s="2">
        <v>120.81621</v>
      </c>
      <c r="Q403" s="28"/>
      <c r="R403" s="38"/>
      <c r="S403" s="1">
        <v>21.907710000000002</v>
      </c>
      <c r="T403" s="31"/>
      <c r="U403" s="41"/>
    </row>
    <row r="404" spans="1:21" ht="16" x14ac:dyDescent="0.2">
      <c r="A404" s="31"/>
      <c r="B404" s="33"/>
      <c r="C404" s="26"/>
      <c r="D404" s="4" t="s">
        <v>11</v>
      </c>
      <c r="E404" s="2">
        <v>157.09689</v>
      </c>
      <c r="F404" s="29"/>
      <c r="G404" s="39"/>
      <c r="H404" s="2">
        <v>24.601880000000001</v>
      </c>
      <c r="I404" s="29"/>
      <c r="J404" s="39"/>
      <c r="L404" s="31"/>
      <c r="M404" s="33"/>
      <c r="N404" s="26"/>
      <c r="O404" s="5" t="s">
        <v>11</v>
      </c>
      <c r="P404" s="2">
        <v>141.10830999999999</v>
      </c>
      <c r="Q404" s="29"/>
      <c r="R404" s="39"/>
      <c r="S404" s="1">
        <v>27.900120000000001</v>
      </c>
      <c r="T404" s="32"/>
      <c r="U404" s="42"/>
    </row>
    <row r="405" spans="1:21" ht="16" x14ac:dyDescent="0.2">
      <c r="A405" s="31"/>
      <c r="B405" s="26">
        <v>2</v>
      </c>
      <c r="C405" s="26">
        <v>1</v>
      </c>
      <c r="D405" s="4" t="s">
        <v>7</v>
      </c>
      <c r="E405" s="2">
        <v>102.87621999999999</v>
      </c>
      <c r="F405" s="27">
        <f t="shared" ref="F405" si="359">AVERAGE(E405:E409)</f>
        <v>109.17616200000002</v>
      </c>
      <c r="G405" s="37">
        <f>AVERAGE(F405:F429)</f>
        <v>110.34405</v>
      </c>
      <c r="H405" s="2">
        <v>13.93408</v>
      </c>
      <c r="I405" s="27">
        <f t="shared" ref="I405" si="360">AVERAGE(H405:H409)</f>
        <v>19.871842000000001</v>
      </c>
      <c r="J405" s="37">
        <f t="shared" ref="J405" si="361">AVERAGE(I405:I429)</f>
        <v>24.864406800000001</v>
      </c>
      <c r="L405" s="31"/>
      <c r="M405" s="33">
        <v>2</v>
      </c>
      <c r="N405" s="26">
        <v>1</v>
      </c>
      <c r="O405" s="5" t="s">
        <v>7</v>
      </c>
      <c r="P405" s="2">
        <v>233.13138999999998</v>
      </c>
      <c r="Q405" s="27">
        <f t="shared" ref="Q405" si="362">AVERAGE(P405:P409)</f>
        <v>160.66777400000001</v>
      </c>
      <c r="R405" s="37">
        <f t="shared" ref="R405" si="363">AVERAGE(Q405:Q429)</f>
        <v>183.84161679999997</v>
      </c>
      <c r="S405" s="1">
        <v>24.182210000000001</v>
      </c>
      <c r="T405" s="30">
        <f t="shared" ref="T405" si="364">AVERAGE(S405:S409)</f>
        <v>23.48169</v>
      </c>
      <c r="U405" s="40">
        <f t="shared" ref="U405" si="365">AVERAGE(T405:T429)</f>
        <v>23.9772268</v>
      </c>
    </row>
    <row r="406" spans="1:21" ht="16" x14ac:dyDescent="0.2">
      <c r="A406" s="31"/>
      <c r="B406" s="26"/>
      <c r="C406" s="26"/>
      <c r="D406" s="4" t="s">
        <v>8</v>
      </c>
      <c r="E406" s="2">
        <v>102.06128000000001</v>
      </c>
      <c r="F406" s="28"/>
      <c r="G406" s="38"/>
      <c r="H406" s="2">
        <v>13.93408</v>
      </c>
      <c r="I406" s="28"/>
      <c r="J406" s="38"/>
      <c r="L406" s="31"/>
      <c r="M406" s="33"/>
      <c r="N406" s="26"/>
      <c r="O406" s="5" t="s">
        <v>8</v>
      </c>
      <c r="P406" s="2">
        <v>144.03422</v>
      </c>
      <c r="Q406" s="28"/>
      <c r="R406" s="38"/>
      <c r="S406" s="1">
        <v>19.27582</v>
      </c>
      <c r="T406" s="31"/>
      <c r="U406" s="41"/>
    </row>
    <row r="407" spans="1:21" ht="16" x14ac:dyDescent="0.2">
      <c r="A407" s="31"/>
      <c r="B407" s="26"/>
      <c r="C407" s="26"/>
      <c r="D407" s="4" t="s">
        <v>9</v>
      </c>
      <c r="E407" s="2">
        <v>114.17482</v>
      </c>
      <c r="F407" s="28"/>
      <c r="G407" s="38"/>
      <c r="H407" s="2">
        <v>31.455719999999999</v>
      </c>
      <c r="I407" s="28"/>
      <c r="J407" s="38"/>
      <c r="L407" s="31"/>
      <c r="M407" s="33"/>
      <c r="N407" s="26"/>
      <c r="O407" s="5" t="s">
        <v>9</v>
      </c>
      <c r="P407" s="2">
        <v>197.02928</v>
      </c>
      <c r="Q407" s="28"/>
      <c r="R407" s="38"/>
      <c r="S407" s="1">
        <v>26.580300000000001</v>
      </c>
      <c r="T407" s="31"/>
      <c r="U407" s="41"/>
    </row>
    <row r="408" spans="1:21" ht="16" x14ac:dyDescent="0.2">
      <c r="A408" s="31"/>
      <c r="B408" s="26"/>
      <c r="C408" s="26"/>
      <c r="D408" s="4" t="s">
        <v>10</v>
      </c>
      <c r="E408" s="2">
        <v>123.90135000000001</v>
      </c>
      <c r="F408" s="28"/>
      <c r="G408" s="38"/>
      <c r="H408" s="2">
        <v>23.90315</v>
      </c>
      <c r="I408" s="28"/>
      <c r="J408" s="38"/>
      <c r="L408" s="31"/>
      <c r="M408" s="33"/>
      <c r="N408" s="26"/>
      <c r="O408" s="5" t="s">
        <v>10</v>
      </c>
      <c r="P408" s="2">
        <v>129.01877000000002</v>
      </c>
      <c r="Q408" s="28"/>
      <c r="R408" s="38"/>
      <c r="S408" s="1">
        <v>25.12341</v>
      </c>
      <c r="T408" s="31"/>
      <c r="U408" s="41"/>
    </row>
    <row r="409" spans="1:21" ht="16" x14ac:dyDescent="0.2">
      <c r="A409" s="31"/>
      <c r="B409" s="26"/>
      <c r="C409" s="26"/>
      <c r="D409" s="4" t="s">
        <v>11</v>
      </c>
      <c r="E409" s="2">
        <v>102.86714000000001</v>
      </c>
      <c r="F409" s="29"/>
      <c r="G409" s="38"/>
      <c r="H409" s="2">
        <v>16.132180000000002</v>
      </c>
      <c r="I409" s="29"/>
      <c r="J409" s="38"/>
      <c r="L409" s="31"/>
      <c r="M409" s="33"/>
      <c r="N409" s="26"/>
      <c r="O409" s="5" t="s">
        <v>11</v>
      </c>
      <c r="P409" s="2">
        <v>100.12521000000001</v>
      </c>
      <c r="Q409" s="29"/>
      <c r="R409" s="38"/>
      <c r="S409" s="1">
        <v>22.246709999999997</v>
      </c>
      <c r="T409" s="32"/>
      <c r="U409" s="41"/>
    </row>
    <row r="410" spans="1:21" ht="16" x14ac:dyDescent="0.2">
      <c r="A410" s="31"/>
      <c r="B410" s="26"/>
      <c r="C410" s="26">
        <v>2</v>
      </c>
      <c r="D410" s="4" t="s">
        <v>7</v>
      </c>
      <c r="E410" s="2">
        <v>136.79059999999998</v>
      </c>
      <c r="F410" s="27">
        <f t="shared" ref="F410" si="366">AVERAGE(E410:E414)</f>
        <v>116.61987800000001</v>
      </c>
      <c r="G410" s="38"/>
      <c r="H410" s="2">
        <v>30.849050000000002</v>
      </c>
      <c r="I410" s="27">
        <f t="shared" ref="I410" si="367">AVERAGE(H410:H414)</f>
        <v>28.125802</v>
      </c>
      <c r="J410" s="38"/>
      <c r="L410" s="31"/>
      <c r="M410" s="33"/>
      <c r="N410" s="26">
        <v>2</v>
      </c>
      <c r="O410" s="5" t="s">
        <v>7</v>
      </c>
      <c r="P410" s="2">
        <v>180.92137</v>
      </c>
      <c r="Q410" s="27">
        <f t="shared" ref="Q410" si="368">AVERAGE(P410:P414)</f>
        <v>166.31766199999998</v>
      </c>
      <c r="R410" s="38"/>
      <c r="S410" s="1">
        <v>26.456729999999997</v>
      </c>
      <c r="T410" s="30">
        <f t="shared" ref="T410" si="369">AVERAGE(S410:S414)</f>
        <v>23.942153999999999</v>
      </c>
      <c r="U410" s="41"/>
    </row>
    <row r="411" spans="1:21" ht="16" x14ac:dyDescent="0.2">
      <c r="A411" s="31"/>
      <c r="B411" s="26"/>
      <c r="C411" s="26"/>
      <c r="D411" s="4" t="s">
        <v>8</v>
      </c>
      <c r="E411" s="2">
        <v>136.63083</v>
      </c>
      <c r="F411" s="28"/>
      <c r="G411" s="38"/>
      <c r="H411" s="2">
        <v>24.24062</v>
      </c>
      <c r="I411" s="28"/>
      <c r="J411" s="38"/>
      <c r="L411" s="31"/>
      <c r="M411" s="33"/>
      <c r="N411" s="26"/>
      <c r="O411" s="5" t="s">
        <v>8</v>
      </c>
      <c r="P411" s="2">
        <v>179.02513999999999</v>
      </c>
      <c r="Q411" s="28"/>
      <c r="R411" s="38"/>
      <c r="S411" s="1">
        <v>18.110219999999998</v>
      </c>
      <c r="T411" s="31"/>
      <c r="U411" s="41"/>
    </row>
    <row r="412" spans="1:21" ht="16" x14ac:dyDescent="0.2">
      <c r="A412" s="31"/>
      <c r="B412" s="26"/>
      <c r="C412" s="26"/>
      <c r="D412" s="4" t="s">
        <v>9</v>
      </c>
      <c r="E412" s="2">
        <v>79.375169999999997</v>
      </c>
      <c r="F412" s="28"/>
      <c r="G412" s="38"/>
      <c r="H412" s="2">
        <v>18.168009999999999</v>
      </c>
      <c r="I412" s="28"/>
      <c r="J412" s="38"/>
      <c r="L412" s="31"/>
      <c r="M412" s="33"/>
      <c r="N412" s="26"/>
      <c r="O412" s="5" t="s">
        <v>9</v>
      </c>
      <c r="P412" s="2">
        <v>129.98284999999998</v>
      </c>
      <c r="Q412" s="28"/>
      <c r="R412" s="38"/>
      <c r="S412" s="1">
        <v>27.310189999999999</v>
      </c>
      <c r="T412" s="31"/>
      <c r="U412" s="41"/>
    </row>
    <row r="413" spans="1:21" ht="16" x14ac:dyDescent="0.2">
      <c r="A413" s="31"/>
      <c r="B413" s="26"/>
      <c r="C413" s="26"/>
      <c r="D413" s="4" t="s">
        <v>10</v>
      </c>
      <c r="E413" s="2">
        <v>89.612589999999997</v>
      </c>
      <c r="F413" s="28"/>
      <c r="G413" s="38"/>
      <c r="H413" s="2">
        <v>32.051790000000004</v>
      </c>
      <c r="I413" s="28"/>
      <c r="J413" s="38"/>
      <c r="L413" s="31"/>
      <c r="M413" s="33"/>
      <c r="N413" s="26"/>
      <c r="O413" s="5" t="s">
        <v>10</v>
      </c>
      <c r="P413" s="2">
        <v>152.08271999999999</v>
      </c>
      <c r="Q413" s="28"/>
      <c r="R413" s="38"/>
      <c r="S413" s="1">
        <v>27.743110000000001</v>
      </c>
      <c r="T413" s="31"/>
      <c r="U413" s="41"/>
    </row>
    <row r="414" spans="1:21" ht="16" x14ac:dyDescent="0.2">
      <c r="A414" s="31"/>
      <c r="B414" s="26"/>
      <c r="C414" s="26"/>
      <c r="D414" s="4" t="s">
        <v>11</v>
      </c>
      <c r="E414" s="2">
        <v>140.6902</v>
      </c>
      <c r="F414" s="29"/>
      <c r="G414" s="38"/>
      <c r="H414" s="2">
        <v>35.319540000000003</v>
      </c>
      <c r="I414" s="29"/>
      <c r="J414" s="38"/>
      <c r="L414" s="31"/>
      <c r="M414" s="33"/>
      <c r="N414" s="26"/>
      <c r="O414" s="5" t="s">
        <v>11</v>
      </c>
      <c r="P414" s="2">
        <v>189.57623000000001</v>
      </c>
      <c r="Q414" s="29"/>
      <c r="R414" s="38"/>
      <c r="S414" s="1">
        <v>20.090519999999998</v>
      </c>
      <c r="T414" s="32"/>
      <c r="U414" s="41"/>
    </row>
    <row r="415" spans="1:21" ht="16" x14ac:dyDescent="0.2">
      <c r="A415" s="31"/>
      <c r="B415" s="26"/>
      <c r="C415" s="26">
        <v>3</v>
      </c>
      <c r="D415" s="4" t="s">
        <v>7</v>
      </c>
      <c r="E415" s="2">
        <v>97.586430000000007</v>
      </c>
      <c r="F415" s="27">
        <f t="shared" ref="F415" si="370">AVERAGE(E415:E419)</f>
        <v>104.77232799999999</v>
      </c>
      <c r="G415" s="38"/>
      <c r="H415" s="2">
        <v>1.9772800000000001</v>
      </c>
      <c r="I415" s="27">
        <f t="shared" ref="I415" si="371">AVERAGE(H415:H419)</f>
        <v>27.797021999999998</v>
      </c>
      <c r="J415" s="38"/>
      <c r="L415" s="31"/>
      <c r="M415" s="33"/>
      <c r="N415" s="26">
        <v>3</v>
      </c>
      <c r="O415" s="5" t="s">
        <v>7</v>
      </c>
      <c r="P415" s="2">
        <v>348.12565999999998</v>
      </c>
      <c r="Q415" s="27">
        <f t="shared" ref="Q415" si="372">AVERAGE(P415:P419)</f>
        <v>239.806196</v>
      </c>
      <c r="R415" s="38"/>
      <c r="S415" s="1">
        <v>19.24774</v>
      </c>
      <c r="T415" s="30">
        <f t="shared" ref="T415" si="373">AVERAGE(S415:S419)</f>
        <v>22.835196</v>
      </c>
      <c r="U415" s="41"/>
    </row>
    <row r="416" spans="1:21" ht="16" x14ac:dyDescent="0.2">
      <c r="A416" s="31"/>
      <c r="B416" s="26"/>
      <c r="C416" s="26"/>
      <c r="D416" s="4" t="s">
        <v>8</v>
      </c>
      <c r="E416" s="2">
        <v>102.55032</v>
      </c>
      <c r="F416" s="28"/>
      <c r="G416" s="38"/>
      <c r="H416" s="2">
        <v>25.538600000000002</v>
      </c>
      <c r="I416" s="28"/>
      <c r="J416" s="38"/>
      <c r="L416" s="31"/>
      <c r="M416" s="33"/>
      <c r="N416" s="26"/>
      <c r="O416" s="5" t="s">
        <v>8</v>
      </c>
      <c r="P416" s="2">
        <v>199.00820999999999</v>
      </c>
      <c r="Q416" s="28"/>
      <c r="R416" s="38"/>
      <c r="S416" s="1">
        <v>17.007460000000002</v>
      </c>
      <c r="T416" s="31"/>
      <c r="U416" s="41"/>
    </row>
    <row r="417" spans="1:21" ht="16" x14ac:dyDescent="0.2">
      <c r="A417" s="31"/>
      <c r="B417" s="26"/>
      <c r="C417" s="26"/>
      <c r="D417" s="4" t="s">
        <v>9</v>
      </c>
      <c r="E417" s="2">
        <v>100.50425999999999</v>
      </c>
      <c r="F417" s="28"/>
      <c r="G417" s="38"/>
      <c r="H417" s="2">
        <v>25.664099999999998</v>
      </c>
      <c r="I417" s="28"/>
      <c r="J417" s="38"/>
      <c r="L417" s="31"/>
      <c r="M417" s="33"/>
      <c r="N417" s="26"/>
      <c r="O417" s="5" t="s">
        <v>9</v>
      </c>
      <c r="P417" s="2">
        <v>297.97694000000001</v>
      </c>
      <c r="Q417" s="28"/>
      <c r="R417" s="38"/>
      <c r="S417" s="1">
        <v>26.428789999999999</v>
      </c>
      <c r="T417" s="31"/>
      <c r="U417" s="41"/>
    </row>
    <row r="418" spans="1:21" ht="16" x14ac:dyDescent="0.2">
      <c r="A418" s="31"/>
      <c r="B418" s="26"/>
      <c r="C418" s="26"/>
      <c r="D418" s="4" t="s">
        <v>10</v>
      </c>
      <c r="E418" s="2">
        <v>120.27911</v>
      </c>
      <c r="F418" s="28"/>
      <c r="G418" s="38"/>
      <c r="H418" s="2">
        <v>24.779330000000002</v>
      </c>
      <c r="I418" s="28"/>
      <c r="J418" s="38"/>
      <c r="L418" s="31"/>
      <c r="M418" s="33"/>
      <c r="N418" s="26"/>
      <c r="O418" s="5" t="s">
        <v>10</v>
      </c>
      <c r="P418" s="2">
        <v>187.22525000000002</v>
      </c>
      <c r="Q418" s="28"/>
      <c r="R418" s="38"/>
      <c r="S418" s="1">
        <v>24.976900000000001</v>
      </c>
      <c r="T418" s="31"/>
      <c r="U418" s="41"/>
    </row>
    <row r="419" spans="1:21" ht="16" x14ac:dyDescent="0.2">
      <c r="A419" s="31"/>
      <c r="B419" s="26"/>
      <c r="C419" s="26"/>
      <c r="D419" s="4" t="s">
        <v>11</v>
      </c>
      <c r="E419" s="2">
        <v>102.94152</v>
      </c>
      <c r="F419" s="29"/>
      <c r="G419" s="38"/>
      <c r="H419" s="2">
        <v>61.025799999999997</v>
      </c>
      <c r="I419" s="29"/>
      <c r="J419" s="38"/>
      <c r="L419" s="31"/>
      <c r="M419" s="33"/>
      <c r="N419" s="26"/>
      <c r="O419" s="5" t="s">
        <v>11</v>
      </c>
      <c r="P419" s="2">
        <v>166.69492</v>
      </c>
      <c r="Q419" s="29"/>
      <c r="R419" s="38"/>
      <c r="S419" s="1">
        <v>26.515090000000001</v>
      </c>
      <c r="T419" s="32"/>
      <c r="U419" s="41"/>
    </row>
    <row r="420" spans="1:21" ht="16" x14ac:dyDescent="0.2">
      <c r="A420" s="31"/>
      <c r="B420" s="26"/>
      <c r="C420" s="26">
        <v>4</v>
      </c>
      <c r="D420" s="4" t="s">
        <v>7</v>
      </c>
      <c r="E420" s="2">
        <v>127.12736000000001</v>
      </c>
      <c r="F420" s="27">
        <f t="shared" ref="F420" si="374">AVERAGE(E420:E424)</f>
        <v>114.35504</v>
      </c>
      <c r="G420" s="38"/>
      <c r="H420" s="2">
        <v>27.58643</v>
      </c>
      <c r="I420" s="27">
        <f t="shared" ref="I420" si="375">AVERAGE(H420:H424)</f>
        <v>24.172328</v>
      </c>
      <c r="J420" s="38"/>
      <c r="L420" s="31"/>
      <c r="M420" s="33"/>
      <c r="N420" s="26">
        <v>4</v>
      </c>
      <c r="O420" s="5" t="s">
        <v>7</v>
      </c>
      <c r="P420" s="2">
        <v>325.78651000000002</v>
      </c>
      <c r="Q420" s="27">
        <f t="shared" ref="Q420" si="376">AVERAGE(P420:P424)</f>
        <v>191.85361599999999</v>
      </c>
      <c r="R420" s="38"/>
      <c r="S420" s="1">
        <v>27.055799999999998</v>
      </c>
      <c r="T420" s="30">
        <f t="shared" ref="T420" si="377">AVERAGE(S420:S424)</f>
        <v>24.560549999999999</v>
      </c>
      <c r="U420" s="41"/>
    </row>
    <row r="421" spans="1:21" ht="16" x14ac:dyDescent="0.2">
      <c r="A421" s="31"/>
      <c r="B421" s="26"/>
      <c r="C421" s="26"/>
      <c r="D421" s="4" t="s">
        <v>8</v>
      </c>
      <c r="E421" s="2">
        <v>91.78370000000001</v>
      </c>
      <c r="F421" s="28"/>
      <c r="G421" s="38"/>
      <c r="H421" s="2">
        <v>22.550320000000003</v>
      </c>
      <c r="I421" s="28"/>
      <c r="J421" s="38"/>
      <c r="L421" s="31"/>
      <c r="M421" s="33"/>
      <c r="N421" s="26"/>
      <c r="O421" s="5" t="s">
        <v>8</v>
      </c>
      <c r="P421" s="2">
        <v>144.53883999999999</v>
      </c>
      <c r="Q421" s="28"/>
      <c r="R421" s="38"/>
      <c r="S421" s="1">
        <v>29.449180000000002</v>
      </c>
      <c r="T421" s="31"/>
      <c r="U421" s="41"/>
    </row>
    <row r="422" spans="1:21" ht="16" x14ac:dyDescent="0.2">
      <c r="A422" s="31"/>
      <c r="B422" s="26"/>
      <c r="C422" s="26"/>
      <c r="D422" s="4" t="s">
        <v>9</v>
      </c>
      <c r="E422" s="2">
        <v>127.58834</v>
      </c>
      <c r="F422" s="28"/>
      <c r="G422" s="38"/>
      <c r="H422" s="2">
        <v>19.504259999999999</v>
      </c>
      <c r="I422" s="28"/>
      <c r="J422" s="38"/>
      <c r="L422" s="31"/>
      <c r="M422" s="33"/>
      <c r="N422" s="26"/>
      <c r="O422" s="5" t="s">
        <v>9</v>
      </c>
      <c r="P422" s="2">
        <v>146.93815000000001</v>
      </c>
      <c r="Q422" s="28"/>
      <c r="R422" s="38"/>
      <c r="S422" s="1">
        <v>26.612579999999998</v>
      </c>
      <c r="T422" s="31"/>
      <c r="U422" s="41"/>
    </row>
    <row r="423" spans="1:21" ht="16" x14ac:dyDescent="0.2">
      <c r="A423" s="31"/>
      <c r="B423" s="26"/>
      <c r="C423" s="26"/>
      <c r="D423" s="4" t="s">
        <v>10</v>
      </c>
      <c r="E423" s="2">
        <v>133.07201999999998</v>
      </c>
      <c r="F423" s="28"/>
      <c r="G423" s="38"/>
      <c r="H423" s="2">
        <v>28.279109999999999</v>
      </c>
      <c r="I423" s="28"/>
      <c r="J423" s="38"/>
      <c r="L423" s="31"/>
      <c r="M423" s="33"/>
      <c r="N423" s="26"/>
      <c r="O423" s="5" t="s">
        <v>10</v>
      </c>
      <c r="P423" s="2">
        <v>189.04667000000001</v>
      </c>
      <c r="Q423" s="28"/>
      <c r="R423" s="38"/>
      <c r="S423" s="1">
        <v>19.082270000000001</v>
      </c>
      <c r="T423" s="31"/>
      <c r="U423" s="41"/>
    </row>
    <row r="424" spans="1:21" ht="16" x14ac:dyDescent="0.2">
      <c r="A424" s="31"/>
      <c r="B424" s="26"/>
      <c r="C424" s="26"/>
      <c r="D424" s="4" t="s">
        <v>11</v>
      </c>
      <c r="E424" s="2">
        <v>92.203780000000009</v>
      </c>
      <c r="F424" s="29"/>
      <c r="G424" s="38"/>
      <c r="H424" s="2">
        <v>22.941520000000001</v>
      </c>
      <c r="I424" s="29"/>
      <c r="J424" s="38"/>
      <c r="L424" s="31"/>
      <c r="M424" s="33"/>
      <c r="N424" s="26"/>
      <c r="O424" s="5" t="s">
        <v>11</v>
      </c>
      <c r="P424" s="2">
        <v>152.95791</v>
      </c>
      <c r="Q424" s="29"/>
      <c r="R424" s="38"/>
      <c r="S424" s="1">
        <v>20.602919999999997</v>
      </c>
      <c r="T424" s="32"/>
      <c r="U424" s="41"/>
    </row>
    <row r="425" spans="1:21" ht="16" x14ac:dyDescent="0.2">
      <c r="A425" s="31"/>
      <c r="B425" s="26"/>
      <c r="C425" s="26">
        <v>5</v>
      </c>
      <c r="D425" s="4" t="s">
        <v>7</v>
      </c>
      <c r="E425" s="2">
        <v>104.61812</v>
      </c>
      <c r="F425" s="27">
        <f t="shared" ref="F425" si="378">AVERAGE(E425:E429)</f>
        <v>106.79684200000001</v>
      </c>
      <c r="G425" s="38"/>
      <c r="H425" s="2">
        <v>27.127359999999999</v>
      </c>
      <c r="I425" s="27">
        <f t="shared" ref="I425" si="379">AVERAGE(H425:H429)</f>
        <v>24.355039999999995</v>
      </c>
      <c r="J425" s="38"/>
      <c r="L425" s="31"/>
      <c r="M425" s="33"/>
      <c r="N425" s="26">
        <v>5</v>
      </c>
      <c r="O425" s="5" t="s">
        <v>7</v>
      </c>
      <c r="P425" s="2">
        <v>170.17166</v>
      </c>
      <c r="Q425" s="27">
        <f t="shared" ref="Q425" si="380">AVERAGE(P425:P429)</f>
        <v>160.562836</v>
      </c>
      <c r="R425" s="38"/>
      <c r="S425" s="1">
        <v>21.588090000000001</v>
      </c>
      <c r="T425" s="30">
        <f t="shared" ref="T425" si="381">AVERAGE(S425:S429)</f>
        <v>25.066544</v>
      </c>
      <c r="U425" s="41"/>
    </row>
    <row r="426" spans="1:21" ht="16" x14ac:dyDescent="0.2">
      <c r="A426" s="31"/>
      <c r="B426" s="26"/>
      <c r="C426" s="26"/>
      <c r="D426" s="4" t="s">
        <v>8</v>
      </c>
      <c r="E426" s="2">
        <v>98.528850000000006</v>
      </c>
      <c r="F426" s="28"/>
      <c r="G426" s="38"/>
      <c r="H426" s="2">
        <v>21.7837</v>
      </c>
      <c r="I426" s="28"/>
      <c r="J426" s="38"/>
      <c r="L426" s="31"/>
      <c r="M426" s="33"/>
      <c r="N426" s="26"/>
      <c r="O426" s="5" t="s">
        <v>8</v>
      </c>
      <c r="P426" s="2">
        <v>132.49644000000001</v>
      </c>
      <c r="Q426" s="28"/>
      <c r="R426" s="38"/>
      <c r="S426" s="1">
        <v>20.710790000000003</v>
      </c>
      <c r="T426" s="31"/>
      <c r="U426" s="41"/>
    </row>
    <row r="427" spans="1:21" ht="16" x14ac:dyDescent="0.2">
      <c r="A427" s="31"/>
      <c r="B427" s="26"/>
      <c r="C427" s="26"/>
      <c r="D427" s="4" t="s">
        <v>9</v>
      </c>
      <c r="E427" s="2">
        <v>109.52123</v>
      </c>
      <c r="F427" s="28"/>
      <c r="G427" s="38"/>
      <c r="H427" s="2">
        <v>27.588339999999999</v>
      </c>
      <c r="I427" s="28"/>
      <c r="J427" s="38"/>
      <c r="L427" s="31"/>
      <c r="M427" s="33"/>
      <c r="N427" s="26"/>
      <c r="O427" s="5" t="s">
        <v>9</v>
      </c>
      <c r="P427" s="2">
        <v>156.79714999999999</v>
      </c>
      <c r="Q427" s="28"/>
      <c r="R427" s="38"/>
      <c r="S427" s="1">
        <v>25.969340000000003</v>
      </c>
      <c r="T427" s="31"/>
      <c r="U427" s="41"/>
    </row>
    <row r="428" spans="1:21" ht="16" x14ac:dyDescent="0.2">
      <c r="A428" s="31"/>
      <c r="B428" s="26"/>
      <c r="C428" s="26"/>
      <c r="D428" s="4" t="s">
        <v>10</v>
      </c>
      <c r="E428" s="2">
        <v>116.04147</v>
      </c>
      <c r="F428" s="28"/>
      <c r="G428" s="38"/>
      <c r="H428" s="2">
        <v>23.072020000000002</v>
      </c>
      <c r="I428" s="28"/>
      <c r="J428" s="38"/>
      <c r="L428" s="31"/>
      <c r="M428" s="33"/>
      <c r="N428" s="26"/>
      <c r="O428" s="5" t="s">
        <v>10</v>
      </c>
      <c r="P428" s="2">
        <v>174.77311</v>
      </c>
      <c r="Q428" s="28"/>
      <c r="R428" s="38"/>
      <c r="S428" s="1">
        <v>28.838100000000001</v>
      </c>
      <c r="T428" s="31"/>
      <c r="U428" s="41"/>
    </row>
    <row r="429" spans="1:21" ht="16" x14ac:dyDescent="0.2">
      <c r="A429" s="31"/>
      <c r="B429" s="26"/>
      <c r="C429" s="26"/>
      <c r="D429" s="4" t="s">
        <v>11</v>
      </c>
      <c r="E429" s="2">
        <v>105.27454</v>
      </c>
      <c r="F429" s="29"/>
      <c r="G429" s="39"/>
      <c r="H429" s="2">
        <v>22.203780000000002</v>
      </c>
      <c r="I429" s="29"/>
      <c r="J429" s="39"/>
      <c r="L429" s="31"/>
      <c r="M429" s="33"/>
      <c r="N429" s="26"/>
      <c r="O429" s="5" t="s">
        <v>11</v>
      </c>
      <c r="P429" s="2">
        <v>168.57581999999999</v>
      </c>
      <c r="Q429" s="29"/>
      <c r="R429" s="39"/>
      <c r="S429" s="1">
        <v>28.226399999999998</v>
      </c>
      <c r="T429" s="32"/>
      <c r="U429" s="42"/>
    </row>
    <row r="430" spans="1:21" ht="16" x14ac:dyDescent="0.2">
      <c r="A430" s="31"/>
      <c r="B430" s="33">
        <v>3</v>
      </c>
      <c r="C430" s="26">
        <v>1</v>
      </c>
      <c r="D430" s="4" t="s">
        <v>7</v>
      </c>
      <c r="E430" s="2">
        <v>116.94546</v>
      </c>
      <c r="F430" s="27">
        <f t="shared" ref="F430" si="382">AVERAGE(E430:E434)</f>
        <v>108.46088</v>
      </c>
      <c r="G430" s="37">
        <f>AVERAGE(F430:F454)</f>
        <v>110.55438799999999</v>
      </c>
      <c r="H430" s="2">
        <v>23.40137</v>
      </c>
      <c r="I430" s="27">
        <f t="shared" ref="I430" si="383">AVERAGE(H430:H434)</f>
        <v>25.232475999999998</v>
      </c>
      <c r="J430" s="37">
        <f t="shared" ref="J430" si="384">AVERAGE(I430:I454)</f>
        <v>24.2308132</v>
      </c>
      <c r="L430" s="31"/>
      <c r="M430" s="33">
        <v>3</v>
      </c>
      <c r="N430" s="26">
        <v>1</v>
      </c>
      <c r="O430" s="5" t="s">
        <v>7</v>
      </c>
      <c r="P430" s="2">
        <v>79.88646</v>
      </c>
      <c r="Q430" s="27">
        <f t="shared" ref="Q430" si="385">AVERAGE(P430:P434)</f>
        <v>96.683502000000004</v>
      </c>
      <c r="R430" s="37">
        <f t="shared" ref="R430" si="386">AVERAGE(Q430:Q454)</f>
        <v>115.5162668</v>
      </c>
      <c r="S430" s="1">
        <v>23.731640000000002</v>
      </c>
      <c r="T430" s="30">
        <f t="shared" ref="T430" si="387">AVERAGE(S430:S434)</f>
        <v>24.791751999999995</v>
      </c>
      <c r="U430" s="40">
        <f t="shared" ref="U430" si="388">AVERAGE(T430:T454)</f>
        <v>24.6344368</v>
      </c>
    </row>
    <row r="431" spans="1:21" ht="16" x14ac:dyDescent="0.2">
      <c r="A431" s="31"/>
      <c r="B431" s="33"/>
      <c r="C431" s="26"/>
      <c r="D431" s="4" t="s">
        <v>8</v>
      </c>
      <c r="E431" s="2">
        <v>119.34712999999999</v>
      </c>
      <c r="F431" s="28"/>
      <c r="G431" s="38"/>
      <c r="H431" s="2">
        <v>35.885860000000001</v>
      </c>
      <c r="I431" s="28"/>
      <c r="J431" s="38"/>
      <c r="L431" s="31"/>
      <c r="M431" s="33"/>
      <c r="N431" s="26"/>
      <c r="O431" s="5" t="s">
        <v>8</v>
      </c>
      <c r="P431" s="2">
        <v>101.15522999999999</v>
      </c>
      <c r="Q431" s="28"/>
      <c r="R431" s="38"/>
      <c r="S431" s="1">
        <v>25.325059999999997</v>
      </c>
      <c r="T431" s="31"/>
      <c r="U431" s="41"/>
    </row>
    <row r="432" spans="1:21" ht="16" x14ac:dyDescent="0.2">
      <c r="A432" s="31"/>
      <c r="B432" s="33"/>
      <c r="C432" s="26"/>
      <c r="D432" s="4" t="s">
        <v>9</v>
      </c>
      <c r="E432" s="2">
        <v>98.327340000000007</v>
      </c>
      <c r="F432" s="28"/>
      <c r="G432" s="38"/>
      <c r="H432" s="2">
        <v>24.327159999999999</v>
      </c>
      <c r="I432" s="28"/>
      <c r="J432" s="38"/>
      <c r="L432" s="31"/>
      <c r="M432" s="33"/>
      <c r="N432" s="26"/>
      <c r="O432" s="5" t="s">
        <v>9</v>
      </c>
      <c r="P432" s="2">
        <v>85.320800000000006</v>
      </c>
      <c r="Q432" s="28"/>
      <c r="R432" s="38"/>
      <c r="S432" s="1">
        <v>19.138649999999998</v>
      </c>
      <c r="T432" s="31"/>
      <c r="U432" s="41"/>
    </row>
    <row r="433" spans="1:21" ht="16" x14ac:dyDescent="0.2">
      <c r="A433" s="31"/>
      <c r="B433" s="33"/>
      <c r="C433" s="26"/>
      <c r="D433" s="4" t="s">
        <v>10</v>
      </c>
      <c r="E433" s="2">
        <v>99.232129999999998</v>
      </c>
      <c r="F433" s="28"/>
      <c r="G433" s="38"/>
      <c r="H433" s="2">
        <v>23.853459999999998</v>
      </c>
      <c r="I433" s="28"/>
      <c r="J433" s="38"/>
      <c r="L433" s="31"/>
      <c r="M433" s="33"/>
      <c r="N433" s="26"/>
      <c r="O433" s="5" t="s">
        <v>10</v>
      </c>
      <c r="P433" s="2">
        <v>124.40534</v>
      </c>
      <c r="Q433" s="28"/>
      <c r="R433" s="38"/>
      <c r="S433" s="1">
        <v>27.791889999999999</v>
      </c>
      <c r="T433" s="31"/>
      <c r="U433" s="41"/>
    </row>
    <row r="434" spans="1:21" ht="16" x14ac:dyDescent="0.2">
      <c r="A434" s="31"/>
      <c r="B434" s="33"/>
      <c r="C434" s="26"/>
      <c r="D434" s="4" t="s">
        <v>11</v>
      </c>
      <c r="E434" s="2">
        <v>108.45234000000001</v>
      </c>
      <c r="F434" s="29"/>
      <c r="G434" s="38"/>
      <c r="H434" s="2">
        <v>18.69453</v>
      </c>
      <c r="I434" s="29"/>
      <c r="J434" s="38"/>
      <c r="L434" s="31"/>
      <c r="M434" s="33"/>
      <c r="N434" s="26"/>
      <c r="O434" s="5" t="s">
        <v>11</v>
      </c>
      <c r="P434" s="2">
        <v>92.649680000000004</v>
      </c>
      <c r="Q434" s="29"/>
      <c r="R434" s="38"/>
      <c r="S434" s="1">
        <v>27.971520000000002</v>
      </c>
      <c r="T434" s="32"/>
      <c r="U434" s="41"/>
    </row>
    <row r="435" spans="1:21" ht="16" x14ac:dyDescent="0.2">
      <c r="A435" s="31"/>
      <c r="B435" s="33"/>
      <c r="C435" s="26">
        <v>2</v>
      </c>
      <c r="D435" s="4" t="s">
        <v>7</v>
      </c>
      <c r="E435" s="2">
        <v>123.77776</v>
      </c>
      <c r="F435" s="27">
        <f t="shared" ref="F435" si="389">AVERAGE(E435:E439)</f>
        <v>114.25952600000001</v>
      </c>
      <c r="G435" s="38"/>
      <c r="H435" s="2">
        <v>22.846590000000003</v>
      </c>
      <c r="I435" s="27">
        <f t="shared" ref="I435" si="390">AVERAGE(H435:H439)</f>
        <v>24.846718000000003</v>
      </c>
      <c r="J435" s="38"/>
      <c r="L435" s="31"/>
      <c r="M435" s="33"/>
      <c r="N435" s="26">
        <v>2</v>
      </c>
      <c r="O435" s="5" t="s">
        <v>7</v>
      </c>
      <c r="P435" s="2">
        <v>109.30964</v>
      </c>
      <c r="Q435" s="27">
        <f t="shared" ref="Q435" si="391">AVERAGE(P435:P439)</f>
        <v>90.466155999999998</v>
      </c>
      <c r="R435" s="38"/>
      <c r="S435" s="1">
        <v>27.794039999999999</v>
      </c>
      <c r="T435" s="30">
        <f t="shared" ref="T435" si="392">AVERAGE(S435:S439)</f>
        <v>26.831925999999999</v>
      </c>
      <c r="U435" s="41"/>
    </row>
    <row r="436" spans="1:21" ht="16" x14ac:dyDescent="0.2">
      <c r="A436" s="31"/>
      <c r="B436" s="33"/>
      <c r="C436" s="26"/>
      <c r="D436" s="4" t="s">
        <v>8</v>
      </c>
      <c r="E436" s="2">
        <v>94.367170000000002</v>
      </c>
      <c r="F436" s="28"/>
      <c r="G436" s="38"/>
      <c r="H436" s="2">
        <v>25.934229999999999</v>
      </c>
      <c r="I436" s="28"/>
      <c r="J436" s="38"/>
      <c r="L436" s="31"/>
      <c r="M436" s="33"/>
      <c r="N436" s="26"/>
      <c r="O436" s="5" t="s">
        <v>8</v>
      </c>
      <c r="P436" s="2">
        <v>83.552139999999994</v>
      </c>
      <c r="Q436" s="28"/>
      <c r="R436" s="38"/>
      <c r="S436" s="1">
        <v>27.868470000000002</v>
      </c>
      <c r="T436" s="31"/>
      <c r="U436" s="41"/>
    </row>
    <row r="437" spans="1:21" ht="16" x14ac:dyDescent="0.2">
      <c r="A437" s="31"/>
      <c r="B437" s="33"/>
      <c r="C437" s="26"/>
      <c r="D437" s="4" t="s">
        <v>9</v>
      </c>
      <c r="E437" s="2">
        <v>111.97173000000001</v>
      </c>
      <c r="F437" s="28"/>
      <c r="G437" s="38"/>
      <c r="H437" s="2">
        <v>20.312239999999999</v>
      </c>
      <c r="I437" s="28"/>
      <c r="J437" s="38"/>
      <c r="L437" s="31"/>
      <c r="M437" s="33"/>
      <c r="N437" s="26"/>
      <c r="O437" s="5" t="s">
        <v>9</v>
      </c>
      <c r="P437" s="2">
        <v>74.106030000000004</v>
      </c>
      <c r="Q437" s="28"/>
      <c r="R437" s="38"/>
      <c r="S437" s="1">
        <v>29.294090000000001</v>
      </c>
      <c r="T437" s="31"/>
      <c r="U437" s="41"/>
    </row>
    <row r="438" spans="1:21" ht="16" x14ac:dyDescent="0.2">
      <c r="A438" s="31"/>
      <c r="B438" s="33"/>
      <c r="C438" s="26"/>
      <c r="D438" s="4" t="s">
        <v>10</v>
      </c>
      <c r="E438" s="2">
        <v>96.632869999999997</v>
      </c>
      <c r="F438" s="28"/>
      <c r="G438" s="38"/>
      <c r="H438" s="2">
        <v>27.643280000000001</v>
      </c>
      <c r="I438" s="28"/>
      <c r="J438" s="38"/>
      <c r="L438" s="31"/>
      <c r="M438" s="33"/>
      <c r="N438" s="26"/>
      <c r="O438" s="5" t="s">
        <v>10</v>
      </c>
      <c r="P438" s="2">
        <v>91.24448000000001</v>
      </c>
      <c r="Q438" s="28"/>
      <c r="R438" s="38"/>
      <c r="S438" s="1">
        <v>24.173189999999998</v>
      </c>
      <c r="T438" s="31"/>
      <c r="U438" s="41"/>
    </row>
    <row r="439" spans="1:21" ht="16" x14ac:dyDescent="0.2">
      <c r="A439" s="31"/>
      <c r="B439" s="33"/>
      <c r="C439" s="26"/>
      <c r="D439" s="4" t="s">
        <v>11</v>
      </c>
      <c r="E439" s="2">
        <v>144.54810000000001</v>
      </c>
      <c r="F439" s="29"/>
      <c r="G439" s="38"/>
      <c r="H439" s="2">
        <v>27.497249999999998</v>
      </c>
      <c r="I439" s="29"/>
      <c r="J439" s="38"/>
      <c r="L439" s="31"/>
      <c r="M439" s="33"/>
      <c r="N439" s="26"/>
      <c r="O439" s="5" t="s">
        <v>11</v>
      </c>
      <c r="P439" s="2">
        <v>94.118490000000008</v>
      </c>
      <c r="Q439" s="29"/>
      <c r="R439" s="38"/>
      <c r="S439" s="1">
        <v>25.02984</v>
      </c>
      <c r="T439" s="32"/>
      <c r="U439" s="41"/>
    </row>
    <row r="440" spans="1:21" ht="16" x14ac:dyDescent="0.2">
      <c r="A440" s="31"/>
      <c r="B440" s="33"/>
      <c r="C440" s="26">
        <v>3</v>
      </c>
      <c r="D440" s="4" t="s">
        <v>7</v>
      </c>
      <c r="E440" s="2">
        <v>133.21030000000002</v>
      </c>
      <c r="F440" s="27">
        <f t="shared" ref="F440" si="393">AVERAGE(E440:E444)</f>
        <v>120.94322400000001</v>
      </c>
      <c r="G440" s="38"/>
      <c r="H440" s="2">
        <v>20.109819999999999</v>
      </c>
      <c r="I440" s="27">
        <f t="shared" ref="I440" si="394">AVERAGE(H440:H444)</f>
        <v>24.386081999999998</v>
      </c>
      <c r="J440" s="38"/>
      <c r="L440" s="31"/>
      <c r="M440" s="33"/>
      <c r="N440" s="26">
        <v>3</v>
      </c>
      <c r="O440" s="5" t="s">
        <v>7</v>
      </c>
      <c r="P440" s="2">
        <v>137.63093000000001</v>
      </c>
      <c r="Q440" s="27">
        <f t="shared" ref="Q440" si="395">AVERAGE(P440:P444)</f>
        <v>135.44389199999998</v>
      </c>
      <c r="R440" s="38"/>
      <c r="S440" s="1">
        <v>26.778859999999998</v>
      </c>
      <c r="T440" s="30">
        <f t="shared" ref="T440" si="396">AVERAGE(S440:S444)</f>
        <v>24.035429999999998</v>
      </c>
      <c r="U440" s="41"/>
    </row>
    <row r="441" spans="1:21" ht="16" x14ac:dyDescent="0.2">
      <c r="A441" s="31"/>
      <c r="B441" s="33"/>
      <c r="C441" s="26"/>
      <c r="D441" s="4" t="s">
        <v>8</v>
      </c>
      <c r="E441" s="2">
        <v>136.35042999999999</v>
      </c>
      <c r="F441" s="28"/>
      <c r="G441" s="38"/>
      <c r="H441" s="2">
        <v>23.539189999999998</v>
      </c>
      <c r="I441" s="28"/>
      <c r="J441" s="38"/>
      <c r="L441" s="31"/>
      <c r="M441" s="33"/>
      <c r="N441" s="26"/>
      <c r="O441" s="5" t="s">
        <v>8</v>
      </c>
      <c r="P441" s="2">
        <v>142.50048000000001</v>
      </c>
      <c r="Q441" s="28"/>
      <c r="R441" s="38"/>
      <c r="S441" s="1">
        <v>19.677329999999998</v>
      </c>
      <c r="T441" s="31"/>
      <c r="U441" s="41"/>
    </row>
    <row r="442" spans="1:21" ht="16" x14ac:dyDescent="0.2">
      <c r="A442" s="31"/>
      <c r="B442" s="33"/>
      <c r="C442" s="26"/>
      <c r="D442" s="4" t="s">
        <v>9</v>
      </c>
      <c r="E442" s="2">
        <v>114.27122</v>
      </c>
      <c r="F442" s="28"/>
      <c r="G442" s="38"/>
      <c r="H442" s="2">
        <v>26.529710000000001</v>
      </c>
      <c r="I442" s="28"/>
      <c r="J442" s="38"/>
      <c r="L442" s="31"/>
      <c r="M442" s="33"/>
      <c r="N442" s="26"/>
      <c r="O442" s="5" t="s">
        <v>9</v>
      </c>
      <c r="P442" s="2">
        <v>135.16352999999998</v>
      </c>
      <c r="Q442" s="28"/>
      <c r="R442" s="38"/>
      <c r="S442" s="1">
        <v>24.779330000000002</v>
      </c>
      <c r="T442" s="31"/>
      <c r="U442" s="41"/>
    </row>
    <row r="443" spans="1:21" ht="16" x14ac:dyDescent="0.2">
      <c r="A443" s="31"/>
      <c r="B443" s="33"/>
      <c r="C443" s="26"/>
      <c r="D443" s="4" t="s">
        <v>10</v>
      </c>
      <c r="E443" s="2">
        <v>86.822000000000003</v>
      </c>
      <c r="F443" s="28"/>
      <c r="G443" s="38"/>
      <c r="H443" s="2">
        <v>23.244720000000001</v>
      </c>
      <c r="I443" s="28"/>
      <c r="J443" s="38"/>
      <c r="L443" s="31"/>
      <c r="M443" s="33"/>
      <c r="N443" s="26"/>
      <c r="O443" s="5" t="s">
        <v>10</v>
      </c>
      <c r="P443" s="2">
        <v>120.81621</v>
      </c>
      <c r="Q443" s="28"/>
      <c r="R443" s="38"/>
      <c r="S443" s="1">
        <v>21.465169999999997</v>
      </c>
      <c r="T443" s="31"/>
      <c r="U443" s="41"/>
    </row>
    <row r="444" spans="1:21" ht="16" x14ac:dyDescent="0.2">
      <c r="A444" s="31"/>
      <c r="B444" s="33"/>
      <c r="C444" s="26"/>
      <c r="D444" s="4" t="s">
        <v>11</v>
      </c>
      <c r="E444" s="2">
        <v>134.06217000000001</v>
      </c>
      <c r="F444" s="29"/>
      <c r="G444" s="38"/>
      <c r="H444" s="2">
        <v>28.506970000000003</v>
      </c>
      <c r="I444" s="29"/>
      <c r="J444" s="38"/>
      <c r="L444" s="31"/>
      <c r="M444" s="33"/>
      <c r="N444" s="26"/>
      <c r="O444" s="5" t="s">
        <v>11</v>
      </c>
      <c r="P444" s="2">
        <v>141.10830999999999</v>
      </c>
      <c r="Q444" s="29"/>
      <c r="R444" s="38"/>
      <c r="S444" s="1">
        <v>27.476460000000003</v>
      </c>
      <c r="T444" s="32"/>
      <c r="U444" s="41"/>
    </row>
    <row r="445" spans="1:21" ht="16" x14ac:dyDescent="0.2">
      <c r="A445" s="31"/>
      <c r="B445" s="33"/>
      <c r="C445" s="26">
        <v>4</v>
      </c>
      <c r="D445" s="4" t="s">
        <v>7</v>
      </c>
      <c r="E445" s="2">
        <v>17.62771</v>
      </c>
      <c r="F445" s="27">
        <f t="shared" ref="F445" si="397">AVERAGE(E445:E449)</f>
        <v>92.19137600000002</v>
      </c>
      <c r="G445" s="38"/>
      <c r="H445" s="2">
        <v>24.010850000000001</v>
      </c>
      <c r="I445" s="27">
        <f t="shared" ref="I445" si="398">AVERAGE(H445:H449)</f>
        <v>23.991938000000001</v>
      </c>
      <c r="J445" s="38"/>
      <c r="L445" s="31"/>
      <c r="M445" s="33"/>
      <c r="N445" s="26">
        <v>4</v>
      </c>
      <c r="O445" s="5" t="s">
        <v>7</v>
      </c>
      <c r="P445" s="2">
        <v>102.13093000000001</v>
      </c>
      <c r="Q445" s="27">
        <f t="shared" ref="Q445" si="399">AVERAGE(P445:P449)</f>
        <v>118.94389200000001</v>
      </c>
      <c r="R445" s="38"/>
      <c r="S445" s="1">
        <v>21.176210000000001</v>
      </c>
      <c r="T445" s="30">
        <f t="shared" ref="T445" si="400">AVERAGE(S445:S449)</f>
        <v>22.556180000000001</v>
      </c>
      <c r="U445" s="41"/>
    </row>
    <row r="446" spans="1:21" ht="16" x14ac:dyDescent="0.2">
      <c r="A446" s="31"/>
      <c r="B446" s="33"/>
      <c r="C446" s="26"/>
      <c r="D446" s="4" t="s">
        <v>8</v>
      </c>
      <c r="E446" s="2">
        <v>140.53752</v>
      </c>
      <c r="F446" s="28"/>
      <c r="G446" s="38"/>
      <c r="H446" s="2">
        <v>24.24663</v>
      </c>
      <c r="I446" s="28"/>
      <c r="J446" s="38"/>
      <c r="L446" s="31"/>
      <c r="M446" s="33"/>
      <c r="N446" s="26"/>
      <c r="O446" s="5" t="s">
        <v>8</v>
      </c>
      <c r="P446" s="2">
        <v>122.50048000000001</v>
      </c>
      <c r="Q446" s="28"/>
      <c r="R446" s="38"/>
      <c r="S446" s="1">
        <v>20.531640000000003</v>
      </c>
      <c r="T446" s="31"/>
      <c r="U446" s="41"/>
    </row>
    <row r="447" spans="1:21" ht="16" x14ac:dyDescent="0.2">
      <c r="A447" s="31"/>
      <c r="B447" s="33"/>
      <c r="C447" s="26"/>
      <c r="D447" s="4" t="s">
        <v>9</v>
      </c>
      <c r="E447" s="2">
        <v>59.137180000000001</v>
      </c>
      <c r="F447" s="28"/>
      <c r="G447" s="38"/>
      <c r="H447" s="2">
        <v>29.881610000000002</v>
      </c>
      <c r="I447" s="28"/>
      <c r="J447" s="38"/>
      <c r="L447" s="31"/>
      <c r="M447" s="33"/>
      <c r="N447" s="26"/>
      <c r="O447" s="5" t="s">
        <v>9</v>
      </c>
      <c r="P447" s="2">
        <v>138.16352999999998</v>
      </c>
      <c r="Q447" s="28"/>
      <c r="R447" s="38"/>
      <c r="S447" s="1">
        <v>24.26511</v>
      </c>
      <c r="T447" s="31"/>
      <c r="U447" s="41"/>
    </row>
    <row r="448" spans="1:21" ht="16" x14ac:dyDescent="0.2">
      <c r="A448" s="31"/>
      <c r="B448" s="33"/>
      <c r="C448" s="26"/>
      <c r="D448" s="4" t="s">
        <v>10</v>
      </c>
      <c r="E448" s="2">
        <v>77.372510000000005</v>
      </c>
      <c r="F448" s="28"/>
      <c r="G448" s="38"/>
      <c r="H448" s="2">
        <v>23.417089999999998</v>
      </c>
      <c r="I448" s="28"/>
      <c r="J448" s="38"/>
      <c r="L448" s="31"/>
      <c r="M448" s="33"/>
      <c r="N448" s="26"/>
      <c r="O448" s="5" t="s">
        <v>10</v>
      </c>
      <c r="P448" s="2">
        <v>120.81621</v>
      </c>
      <c r="Q448" s="28"/>
      <c r="R448" s="38"/>
      <c r="S448" s="1">
        <v>25.54073</v>
      </c>
      <c r="T448" s="31"/>
      <c r="U448" s="41"/>
    </row>
    <row r="449" spans="1:21" ht="16" x14ac:dyDescent="0.2">
      <c r="A449" s="31"/>
      <c r="B449" s="33"/>
      <c r="C449" s="26"/>
      <c r="D449" s="4" t="s">
        <v>11</v>
      </c>
      <c r="E449" s="2">
        <v>166.28196</v>
      </c>
      <c r="F449" s="29"/>
      <c r="G449" s="38"/>
      <c r="H449" s="2">
        <v>18.403510000000001</v>
      </c>
      <c r="I449" s="29"/>
      <c r="J449" s="38"/>
      <c r="L449" s="31"/>
      <c r="M449" s="33"/>
      <c r="N449" s="26"/>
      <c r="O449" s="5" t="s">
        <v>11</v>
      </c>
      <c r="P449" s="2">
        <v>111.10831</v>
      </c>
      <c r="Q449" s="29"/>
      <c r="R449" s="38"/>
      <c r="S449" s="1">
        <v>21.267209999999999</v>
      </c>
      <c r="T449" s="32"/>
      <c r="U449" s="41"/>
    </row>
    <row r="450" spans="1:21" ht="16" x14ac:dyDescent="0.2">
      <c r="A450" s="31"/>
      <c r="B450" s="33"/>
      <c r="C450" s="26">
        <v>5</v>
      </c>
      <c r="D450" s="4" t="s">
        <v>7</v>
      </c>
      <c r="E450" s="2">
        <v>147.45054999999999</v>
      </c>
      <c r="F450" s="27">
        <f t="shared" ref="F450" si="401">AVERAGE(E450:E454)</f>
        <v>116.916934</v>
      </c>
      <c r="G450" s="38"/>
      <c r="H450" s="2">
        <v>26.157310000000003</v>
      </c>
      <c r="I450" s="27">
        <f t="shared" ref="I450" si="402">AVERAGE(H450:H454)</f>
        <v>22.696852</v>
      </c>
      <c r="J450" s="38"/>
      <c r="L450" s="31"/>
      <c r="M450" s="33"/>
      <c r="N450" s="26">
        <v>5</v>
      </c>
      <c r="O450" s="5" t="s">
        <v>7</v>
      </c>
      <c r="P450" s="2">
        <v>148.63093000000001</v>
      </c>
      <c r="Q450" s="27">
        <f t="shared" ref="Q450" si="403">AVERAGE(P450:P454)</f>
        <v>136.04389199999997</v>
      </c>
      <c r="R450" s="38"/>
      <c r="S450" s="1">
        <v>27.267209999999999</v>
      </c>
      <c r="T450" s="30">
        <f t="shared" ref="T450" si="404">AVERAGE(S450:S454)</f>
        <v>24.956896</v>
      </c>
      <c r="U450" s="41"/>
    </row>
    <row r="451" spans="1:21" ht="16" x14ac:dyDescent="0.2">
      <c r="A451" s="31"/>
      <c r="B451" s="33"/>
      <c r="C451" s="26"/>
      <c r="D451" s="4" t="s">
        <v>8</v>
      </c>
      <c r="E451" s="2">
        <v>99.686110000000014</v>
      </c>
      <c r="F451" s="28"/>
      <c r="G451" s="38"/>
      <c r="H451" s="2">
        <v>23.940349999999999</v>
      </c>
      <c r="I451" s="28"/>
      <c r="J451" s="38"/>
      <c r="L451" s="31"/>
      <c r="M451" s="33"/>
      <c r="N451" s="26"/>
      <c r="O451" s="5" t="s">
        <v>8</v>
      </c>
      <c r="P451" s="2">
        <v>131.50048000000001</v>
      </c>
      <c r="Q451" s="28"/>
      <c r="R451" s="38"/>
      <c r="S451" s="1">
        <v>23.59357</v>
      </c>
      <c r="T451" s="31"/>
      <c r="U451" s="41"/>
    </row>
    <row r="452" spans="1:21" ht="16" x14ac:dyDescent="0.2">
      <c r="A452" s="31"/>
      <c r="B452" s="33"/>
      <c r="C452" s="26"/>
      <c r="D452" s="4" t="s">
        <v>9</v>
      </c>
      <c r="E452" s="2">
        <v>111.00887</v>
      </c>
      <c r="F452" s="28"/>
      <c r="G452" s="38"/>
      <c r="H452" s="2">
        <v>25.142049999999998</v>
      </c>
      <c r="I452" s="28"/>
      <c r="J452" s="38"/>
      <c r="L452" s="31"/>
      <c r="M452" s="33"/>
      <c r="N452" s="26"/>
      <c r="O452" s="5" t="s">
        <v>9</v>
      </c>
      <c r="P452" s="2">
        <v>138.16352999999998</v>
      </c>
      <c r="Q452" s="28"/>
      <c r="R452" s="38"/>
      <c r="S452" s="1">
        <v>28.38335</v>
      </c>
      <c r="T452" s="31"/>
      <c r="U452" s="41"/>
    </row>
    <row r="453" spans="1:21" ht="16" x14ac:dyDescent="0.2">
      <c r="A453" s="31"/>
      <c r="B453" s="33"/>
      <c r="C453" s="26"/>
      <c r="D453" s="4" t="s">
        <v>10</v>
      </c>
      <c r="E453" s="2">
        <v>114.9246</v>
      </c>
      <c r="F453" s="28"/>
      <c r="G453" s="38"/>
      <c r="H453" s="2">
        <v>17.38813</v>
      </c>
      <c r="I453" s="28"/>
      <c r="J453" s="38"/>
      <c r="L453" s="31"/>
      <c r="M453" s="33"/>
      <c r="N453" s="26"/>
      <c r="O453" s="5" t="s">
        <v>10</v>
      </c>
      <c r="P453" s="2">
        <v>120.81621</v>
      </c>
      <c r="Q453" s="28"/>
      <c r="R453" s="38"/>
      <c r="S453" s="1">
        <v>24.52449</v>
      </c>
      <c r="T453" s="31"/>
      <c r="U453" s="41"/>
    </row>
    <row r="454" spans="1:21" ht="16" x14ac:dyDescent="0.2">
      <c r="A454" s="32"/>
      <c r="B454" s="33"/>
      <c r="C454" s="26"/>
      <c r="D454" s="4" t="s">
        <v>11</v>
      </c>
      <c r="E454" s="2">
        <v>111.51454</v>
      </c>
      <c r="F454" s="29"/>
      <c r="G454" s="39"/>
      <c r="H454" s="2">
        <v>20.85642</v>
      </c>
      <c r="I454" s="29"/>
      <c r="J454" s="39"/>
      <c r="L454" s="32"/>
      <c r="M454" s="33"/>
      <c r="N454" s="26"/>
      <c r="O454" s="5" t="s">
        <v>11</v>
      </c>
      <c r="P454" s="2">
        <v>141.10830999999999</v>
      </c>
      <c r="Q454" s="29"/>
      <c r="R454" s="39"/>
      <c r="S454" s="1">
        <v>21.015859999999996</v>
      </c>
      <c r="T454" s="32"/>
      <c r="U454" s="42"/>
    </row>
    <row r="455" spans="1:21" ht="16" x14ac:dyDescent="0.2">
      <c r="A455" s="30" t="s">
        <v>6</v>
      </c>
      <c r="B455" s="33">
        <v>1</v>
      </c>
      <c r="C455" s="26">
        <v>1</v>
      </c>
      <c r="D455" s="4" t="s">
        <v>7</v>
      </c>
      <c r="E455" s="2">
        <v>145.13819999999998</v>
      </c>
      <c r="F455" s="27">
        <f t="shared" ref="F455" si="405">AVERAGE(E455:E459)</f>
        <v>134.95598799999999</v>
      </c>
      <c r="G455" s="37">
        <f>AVERAGE(F455:F479)</f>
        <v>120.88798799999999</v>
      </c>
      <c r="H455" s="2">
        <v>27.713660000000001</v>
      </c>
      <c r="I455" s="27">
        <f t="shared" ref="I455" si="406">AVERAGE(H455:H459)</f>
        <v>29.104620000000001</v>
      </c>
      <c r="J455" s="37">
        <f t="shared" ref="J455" si="407">AVERAGE(I455:I479)</f>
        <v>25.044620000000002</v>
      </c>
      <c r="L455" s="30" t="s">
        <v>23</v>
      </c>
      <c r="M455" s="33">
        <v>1</v>
      </c>
      <c r="N455" s="26">
        <v>1</v>
      </c>
      <c r="O455" s="5" t="s">
        <v>7</v>
      </c>
      <c r="P455" s="2">
        <v>67.815539999999999</v>
      </c>
      <c r="Q455" s="27">
        <f t="shared" ref="Q455" si="408">AVERAGE(P455:P459)</f>
        <v>62.397604000000001</v>
      </c>
      <c r="R455" s="37">
        <f t="shared" ref="R455" si="409">AVERAGE(Q455:Q479)</f>
        <v>110.05703920000001</v>
      </c>
      <c r="S455" s="1">
        <v>21.456469999999999</v>
      </c>
      <c r="T455" s="30">
        <f t="shared" ref="T455" si="410">AVERAGE(S455:S459)</f>
        <v>24.895014</v>
      </c>
      <c r="U455" s="40">
        <f t="shared" ref="U455" si="411">AVERAGE(T455:T479)</f>
        <v>24.947706799999999</v>
      </c>
    </row>
    <row r="456" spans="1:21" ht="16" x14ac:dyDescent="0.2">
      <c r="A456" s="31"/>
      <c r="B456" s="33"/>
      <c r="C456" s="26"/>
      <c r="D456" s="4" t="s">
        <v>8</v>
      </c>
      <c r="E456" s="2">
        <v>177.41086999999999</v>
      </c>
      <c r="F456" s="28"/>
      <c r="G456" s="38"/>
      <c r="H456" s="2">
        <v>21.698730000000001</v>
      </c>
      <c r="I456" s="28"/>
      <c r="J456" s="38"/>
      <c r="L456" s="31"/>
      <c r="M456" s="33"/>
      <c r="N456" s="26"/>
      <c r="O456" s="5" t="s">
        <v>8</v>
      </c>
      <c r="P456" s="2">
        <v>61.022449999999999</v>
      </c>
      <c r="Q456" s="28"/>
      <c r="R456" s="38"/>
      <c r="S456" s="1">
        <v>25.61469</v>
      </c>
      <c r="T456" s="31"/>
      <c r="U456" s="41"/>
    </row>
    <row r="457" spans="1:21" ht="16" x14ac:dyDescent="0.2">
      <c r="A457" s="31"/>
      <c r="B457" s="33"/>
      <c r="C457" s="26"/>
      <c r="D457" s="4" t="s">
        <v>9</v>
      </c>
      <c r="E457" s="2">
        <v>124.26099000000001</v>
      </c>
      <c r="F457" s="28"/>
      <c r="G457" s="38"/>
      <c r="H457" s="2">
        <v>35.446170000000002</v>
      </c>
      <c r="I457" s="28"/>
      <c r="J457" s="38"/>
      <c r="L457" s="31"/>
      <c r="M457" s="33"/>
      <c r="N457" s="26"/>
      <c r="O457" s="5" t="s">
        <v>9</v>
      </c>
      <c r="P457" s="2">
        <v>53.05941</v>
      </c>
      <c r="Q457" s="28"/>
      <c r="R457" s="38"/>
      <c r="S457" s="1">
        <v>27.456469999999999</v>
      </c>
      <c r="T457" s="31"/>
      <c r="U457" s="41"/>
    </row>
    <row r="458" spans="1:21" ht="16" x14ac:dyDescent="0.2">
      <c r="A458" s="31"/>
      <c r="B458" s="33"/>
      <c r="C458" s="26"/>
      <c r="D458" s="4" t="s">
        <v>10</v>
      </c>
      <c r="E458" s="2">
        <v>139.36763000000002</v>
      </c>
      <c r="F458" s="28"/>
      <c r="G458" s="38"/>
      <c r="H458" s="2">
        <v>28.978200000000001</v>
      </c>
      <c r="I458" s="28"/>
      <c r="J458" s="38"/>
      <c r="L458" s="31"/>
      <c r="M458" s="33"/>
      <c r="N458" s="26"/>
      <c r="O458" s="5" t="s">
        <v>10</v>
      </c>
      <c r="P458" s="2">
        <v>52.297449999999998</v>
      </c>
      <c r="Q458" s="28"/>
      <c r="R458" s="38"/>
      <c r="S458" s="1">
        <v>25.760079999999999</v>
      </c>
      <c r="T458" s="31"/>
      <c r="U458" s="41"/>
    </row>
    <row r="459" spans="1:21" ht="16" x14ac:dyDescent="0.2">
      <c r="A459" s="31"/>
      <c r="B459" s="33"/>
      <c r="C459" s="26"/>
      <c r="D459" s="4" t="s">
        <v>11</v>
      </c>
      <c r="E459" s="2">
        <v>88.602249999999998</v>
      </c>
      <c r="F459" s="29"/>
      <c r="G459" s="38"/>
      <c r="H459" s="2">
        <v>31.686340000000001</v>
      </c>
      <c r="I459" s="29"/>
      <c r="J459" s="38"/>
      <c r="L459" s="31"/>
      <c r="M459" s="33"/>
      <c r="N459" s="26"/>
      <c r="O459" s="5" t="s">
        <v>11</v>
      </c>
      <c r="P459" s="2">
        <v>77.793170000000003</v>
      </c>
      <c r="Q459" s="29"/>
      <c r="R459" s="38"/>
      <c r="S459" s="1">
        <v>24.187359999999998</v>
      </c>
      <c r="T459" s="32"/>
      <c r="U459" s="41"/>
    </row>
    <row r="460" spans="1:21" ht="16" x14ac:dyDescent="0.2">
      <c r="A460" s="31"/>
      <c r="B460" s="33"/>
      <c r="C460" s="26">
        <v>2</v>
      </c>
      <c r="D460" s="4" t="s">
        <v>7</v>
      </c>
      <c r="E460" s="2">
        <v>145.13819999999998</v>
      </c>
      <c r="F460" s="27">
        <f t="shared" ref="F460" si="412">AVERAGE(E460:E464)</f>
        <v>110.555988</v>
      </c>
      <c r="G460" s="38"/>
      <c r="H460" s="2">
        <v>22.713660000000001</v>
      </c>
      <c r="I460" s="27">
        <f t="shared" ref="I460" si="413">AVERAGE(H460:H464)</f>
        <v>23.444620000000004</v>
      </c>
      <c r="J460" s="38"/>
      <c r="L460" s="31"/>
      <c r="M460" s="33"/>
      <c r="N460" s="26">
        <v>2</v>
      </c>
      <c r="O460" s="5" t="s">
        <v>7</v>
      </c>
      <c r="P460" s="2">
        <v>145.67616000000001</v>
      </c>
      <c r="Q460" s="27">
        <f t="shared" ref="Q460" si="414">AVERAGE(P460:P464)</f>
        <v>140.689874</v>
      </c>
      <c r="R460" s="38"/>
      <c r="S460" s="1">
        <v>26.778859999999998</v>
      </c>
      <c r="T460" s="30">
        <f t="shared" ref="T460" si="415">AVERAGE(S460:S464)</f>
        <v>24.035429999999998</v>
      </c>
      <c r="U460" s="41"/>
    </row>
    <row r="461" spans="1:21" ht="16" x14ac:dyDescent="0.2">
      <c r="A461" s="31"/>
      <c r="B461" s="33"/>
      <c r="C461" s="26"/>
      <c r="D461" s="4" t="s">
        <v>8</v>
      </c>
      <c r="E461" s="2">
        <v>107.41086999999999</v>
      </c>
      <c r="F461" s="28"/>
      <c r="G461" s="38"/>
      <c r="H461" s="2">
        <v>20.698730000000001</v>
      </c>
      <c r="I461" s="28"/>
      <c r="J461" s="38"/>
      <c r="L461" s="31"/>
      <c r="M461" s="33"/>
      <c r="N461" s="26"/>
      <c r="O461" s="5" t="s">
        <v>8</v>
      </c>
      <c r="P461" s="2">
        <v>144.96831</v>
      </c>
      <c r="Q461" s="28"/>
      <c r="R461" s="38"/>
      <c r="S461" s="1">
        <v>19.677329999999998</v>
      </c>
      <c r="T461" s="31"/>
      <c r="U461" s="41"/>
    </row>
    <row r="462" spans="1:21" ht="16" x14ac:dyDescent="0.2">
      <c r="A462" s="31"/>
      <c r="B462" s="33"/>
      <c r="C462" s="26"/>
      <c r="D462" s="4" t="s">
        <v>9</v>
      </c>
      <c r="E462" s="2">
        <v>122.26099000000001</v>
      </c>
      <c r="F462" s="28"/>
      <c r="G462" s="38"/>
      <c r="H462" s="2">
        <v>25.446170000000002</v>
      </c>
      <c r="I462" s="28"/>
      <c r="J462" s="38"/>
      <c r="L462" s="31"/>
      <c r="M462" s="33"/>
      <c r="N462" s="26"/>
      <c r="O462" s="5" t="s">
        <v>9</v>
      </c>
      <c r="P462" s="2">
        <v>148.29517999999999</v>
      </c>
      <c r="Q462" s="28"/>
      <c r="R462" s="38"/>
      <c r="S462" s="1">
        <v>24.779330000000002</v>
      </c>
      <c r="T462" s="31"/>
      <c r="U462" s="41"/>
    </row>
    <row r="463" spans="1:21" ht="16" x14ac:dyDescent="0.2">
      <c r="A463" s="31"/>
      <c r="B463" s="33"/>
      <c r="C463" s="26"/>
      <c r="D463" s="4" t="s">
        <v>10</v>
      </c>
      <c r="E463" s="2">
        <v>99.367630000000005</v>
      </c>
      <c r="F463" s="28"/>
      <c r="G463" s="38"/>
      <c r="H463" s="2">
        <v>28.978200000000001</v>
      </c>
      <c r="I463" s="28"/>
      <c r="J463" s="38"/>
      <c r="L463" s="31"/>
      <c r="M463" s="33"/>
      <c r="N463" s="26"/>
      <c r="O463" s="5" t="s">
        <v>10</v>
      </c>
      <c r="P463" s="2">
        <v>147.92079999999999</v>
      </c>
      <c r="Q463" s="28"/>
      <c r="R463" s="38"/>
      <c r="S463" s="1">
        <v>21.465169999999997</v>
      </c>
      <c r="T463" s="31"/>
      <c r="U463" s="41"/>
    </row>
    <row r="464" spans="1:21" ht="16" x14ac:dyDescent="0.2">
      <c r="A464" s="31"/>
      <c r="B464" s="33"/>
      <c r="C464" s="26"/>
      <c r="D464" s="4" t="s">
        <v>11</v>
      </c>
      <c r="E464" s="2">
        <v>78.602249999999998</v>
      </c>
      <c r="F464" s="29"/>
      <c r="G464" s="38"/>
      <c r="H464" s="2">
        <v>19.386340000000001</v>
      </c>
      <c r="I464" s="29"/>
      <c r="J464" s="38"/>
      <c r="L464" s="31"/>
      <c r="M464" s="33"/>
      <c r="N464" s="26"/>
      <c r="O464" s="5" t="s">
        <v>11</v>
      </c>
      <c r="P464" s="2">
        <v>116.58892</v>
      </c>
      <c r="Q464" s="29"/>
      <c r="R464" s="38"/>
      <c r="S464" s="1">
        <v>27.476460000000003</v>
      </c>
      <c r="T464" s="32"/>
      <c r="U464" s="41"/>
    </row>
    <row r="465" spans="1:21" ht="16" x14ac:dyDescent="0.2">
      <c r="A465" s="31"/>
      <c r="B465" s="33"/>
      <c r="C465" s="26">
        <v>3</v>
      </c>
      <c r="D465" s="4" t="s">
        <v>7</v>
      </c>
      <c r="E465" s="2">
        <v>145.13819999999998</v>
      </c>
      <c r="F465" s="27">
        <f t="shared" ref="F465" si="416">AVERAGE(E465:E469)</f>
        <v>119.79598799999999</v>
      </c>
      <c r="G465" s="38"/>
      <c r="H465" s="2">
        <v>27.713660000000001</v>
      </c>
      <c r="I465" s="27">
        <f t="shared" ref="I465" si="417">AVERAGE(H465:H469)</f>
        <v>24.94462</v>
      </c>
      <c r="J465" s="38"/>
      <c r="L465" s="31"/>
      <c r="M465" s="33"/>
      <c r="N465" s="26">
        <v>3</v>
      </c>
      <c r="O465" s="5" t="s">
        <v>7</v>
      </c>
      <c r="P465" s="2">
        <v>95.921229999999994</v>
      </c>
      <c r="Q465" s="27">
        <f t="shared" ref="Q465" si="418">AVERAGE(P465:P469)</f>
        <v>102.71001799999999</v>
      </c>
      <c r="R465" s="38"/>
      <c r="S465" s="1">
        <v>21.176210000000001</v>
      </c>
      <c r="T465" s="30">
        <f t="shared" ref="T465" si="419">AVERAGE(S465:S469)</f>
        <v>25.556180000000001</v>
      </c>
      <c r="U465" s="41"/>
    </row>
    <row r="466" spans="1:21" ht="16" x14ac:dyDescent="0.2">
      <c r="A466" s="31"/>
      <c r="B466" s="33"/>
      <c r="C466" s="26"/>
      <c r="D466" s="4" t="s">
        <v>8</v>
      </c>
      <c r="E466" s="2">
        <v>107.41086999999999</v>
      </c>
      <c r="F466" s="28"/>
      <c r="G466" s="38"/>
      <c r="H466" s="2">
        <v>21.698730000000001</v>
      </c>
      <c r="I466" s="28"/>
      <c r="J466" s="38"/>
      <c r="L466" s="31"/>
      <c r="M466" s="33"/>
      <c r="N466" s="26"/>
      <c r="O466" s="5" t="s">
        <v>8</v>
      </c>
      <c r="P466" s="2">
        <v>96.204959999999986</v>
      </c>
      <c r="Q466" s="28"/>
      <c r="R466" s="38"/>
      <c r="S466" s="1">
        <v>30.531640000000003</v>
      </c>
      <c r="T466" s="31"/>
      <c r="U466" s="41"/>
    </row>
    <row r="467" spans="1:21" ht="16" x14ac:dyDescent="0.2">
      <c r="A467" s="31"/>
      <c r="B467" s="33"/>
      <c r="C467" s="26"/>
      <c r="D467" s="4" t="s">
        <v>9</v>
      </c>
      <c r="E467" s="2">
        <v>122.26099000000001</v>
      </c>
      <c r="F467" s="28"/>
      <c r="G467" s="38"/>
      <c r="H467" s="2">
        <v>21.646170000000001</v>
      </c>
      <c r="I467" s="28"/>
      <c r="J467" s="38"/>
      <c r="L467" s="31"/>
      <c r="M467" s="33"/>
      <c r="N467" s="26"/>
      <c r="O467" s="5" t="s">
        <v>9</v>
      </c>
      <c r="P467" s="2">
        <v>141.15783999999999</v>
      </c>
      <c r="Q467" s="28"/>
      <c r="R467" s="38"/>
      <c r="S467" s="1">
        <v>24.26511</v>
      </c>
      <c r="T467" s="31"/>
      <c r="U467" s="41"/>
    </row>
    <row r="468" spans="1:21" ht="16" x14ac:dyDescent="0.2">
      <c r="A468" s="31"/>
      <c r="B468" s="33"/>
      <c r="C468" s="26"/>
      <c r="D468" s="4" t="s">
        <v>10</v>
      </c>
      <c r="E468" s="2">
        <v>139.36763000000002</v>
      </c>
      <c r="F468" s="28"/>
      <c r="G468" s="38"/>
      <c r="H468" s="2">
        <v>28.978200000000001</v>
      </c>
      <c r="I468" s="28"/>
      <c r="J468" s="38"/>
      <c r="L468" s="31"/>
      <c r="M468" s="33"/>
      <c r="N468" s="26"/>
      <c r="O468" s="5" t="s">
        <v>10</v>
      </c>
      <c r="P468" s="2">
        <v>90.423009999999991</v>
      </c>
      <c r="Q468" s="28"/>
      <c r="R468" s="38"/>
      <c r="S468" s="1">
        <v>30.54073</v>
      </c>
      <c r="T468" s="31"/>
      <c r="U468" s="41"/>
    </row>
    <row r="469" spans="1:21" ht="16" x14ac:dyDescent="0.2">
      <c r="A469" s="31"/>
      <c r="B469" s="33"/>
      <c r="C469" s="26"/>
      <c r="D469" s="4" t="s">
        <v>11</v>
      </c>
      <c r="E469" s="2">
        <v>84.802250000000001</v>
      </c>
      <c r="F469" s="29"/>
      <c r="G469" s="38"/>
      <c r="H469" s="2">
        <v>24.686340000000001</v>
      </c>
      <c r="I469" s="29"/>
      <c r="J469" s="38"/>
      <c r="L469" s="31"/>
      <c r="M469" s="33"/>
      <c r="N469" s="26"/>
      <c r="O469" s="5" t="s">
        <v>11</v>
      </c>
      <c r="P469" s="2">
        <v>89.843050000000005</v>
      </c>
      <c r="Q469" s="29"/>
      <c r="R469" s="38"/>
      <c r="S469" s="1">
        <v>21.267209999999999</v>
      </c>
      <c r="T469" s="32"/>
      <c r="U469" s="41"/>
    </row>
    <row r="470" spans="1:21" ht="16" x14ac:dyDescent="0.2">
      <c r="A470" s="31"/>
      <c r="B470" s="33"/>
      <c r="C470" s="26">
        <v>4</v>
      </c>
      <c r="D470" s="4" t="s">
        <v>7</v>
      </c>
      <c r="E470" s="2">
        <v>145.13819999999998</v>
      </c>
      <c r="F470" s="27">
        <f t="shared" ref="F470" si="420">AVERAGE(E470:E474)</f>
        <v>122.57598800000001</v>
      </c>
      <c r="G470" s="38"/>
      <c r="H470" s="2">
        <v>26.013660000000002</v>
      </c>
      <c r="I470" s="27">
        <f t="shared" ref="I470" si="421">AVERAGE(H470:H474)</f>
        <v>24.46462</v>
      </c>
      <c r="J470" s="38"/>
      <c r="L470" s="31"/>
      <c r="M470" s="33"/>
      <c r="N470" s="26">
        <v>4</v>
      </c>
      <c r="O470" s="5" t="s">
        <v>7</v>
      </c>
      <c r="P470" s="2">
        <v>91.690089999999998</v>
      </c>
      <c r="Q470" s="27">
        <f t="shared" ref="Q470" si="422">AVERAGE(P470:P474)</f>
        <v>92.923482000000007</v>
      </c>
      <c r="R470" s="38"/>
      <c r="S470" s="1">
        <v>21.267209999999999</v>
      </c>
      <c r="T470" s="30">
        <f t="shared" ref="T470" si="423">AVERAGE(S470:S474)</f>
        <v>24.756896000000001</v>
      </c>
      <c r="U470" s="41"/>
    </row>
    <row r="471" spans="1:21" ht="16" x14ac:dyDescent="0.2">
      <c r="A471" s="31"/>
      <c r="B471" s="33"/>
      <c r="C471" s="26"/>
      <c r="D471" s="4" t="s">
        <v>8</v>
      </c>
      <c r="E471" s="2">
        <v>107.41086999999999</v>
      </c>
      <c r="F471" s="28"/>
      <c r="G471" s="38"/>
      <c r="H471" s="2">
        <v>21.698730000000001</v>
      </c>
      <c r="I471" s="28"/>
      <c r="J471" s="38"/>
      <c r="L471" s="31"/>
      <c r="M471" s="33"/>
      <c r="N471" s="26"/>
      <c r="O471" s="5" t="s">
        <v>8</v>
      </c>
      <c r="P471" s="2">
        <v>94.576640000000012</v>
      </c>
      <c r="Q471" s="28"/>
      <c r="R471" s="38"/>
      <c r="S471" s="1">
        <v>27.59357</v>
      </c>
      <c r="T471" s="31"/>
      <c r="U471" s="41"/>
    </row>
    <row r="472" spans="1:21" ht="16" x14ac:dyDescent="0.2">
      <c r="A472" s="31"/>
      <c r="B472" s="33"/>
      <c r="C472" s="26"/>
      <c r="D472" s="4" t="s">
        <v>9</v>
      </c>
      <c r="E472" s="2">
        <v>132.26098999999999</v>
      </c>
      <c r="F472" s="28"/>
      <c r="G472" s="38"/>
      <c r="H472" s="2">
        <v>25.446170000000002</v>
      </c>
      <c r="I472" s="28"/>
      <c r="J472" s="38"/>
      <c r="L472" s="31"/>
      <c r="M472" s="33"/>
      <c r="N472" s="26"/>
      <c r="O472" s="5" t="s">
        <v>9</v>
      </c>
      <c r="P472" s="2">
        <v>92.559460000000001</v>
      </c>
      <c r="Q472" s="28"/>
      <c r="R472" s="38"/>
      <c r="S472" s="1">
        <v>29.38335</v>
      </c>
      <c r="T472" s="31"/>
      <c r="U472" s="41"/>
    </row>
    <row r="473" spans="1:21" ht="16" x14ac:dyDescent="0.2">
      <c r="A473" s="31"/>
      <c r="B473" s="33"/>
      <c r="C473" s="26"/>
      <c r="D473" s="4" t="s">
        <v>10</v>
      </c>
      <c r="E473" s="2">
        <v>139.36763000000002</v>
      </c>
      <c r="F473" s="28"/>
      <c r="G473" s="38"/>
      <c r="H473" s="2">
        <v>28.978200000000001</v>
      </c>
      <c r="I473" s="28"/>
      <c r="J473" s="38"/>
      <c r="L473" s="31"/>
      <c r="M473" s="33"/>
      <c r="N473" s="26"/>
      <c r="O473" s="5" t="s">
        <v>10</v>
      </c>
      <c r="P473" s="2">
        <v>95.983490000000003</v>
      </c>
      <c r="Q473" s="28"/>
      <c r="R473" s="38"/>
      <c r="S473" s="1">
        <v>24.52449</v>
      </c>
      <c r="T473" s="31"/>
      <c r="U473" s="41"/>
    </row>
    <row r="474" spans="1:21" ht="16" x14ac:dyDescent="0.2">
      <c r="A474" s="31"/>
      <c r="B474" s="33"/>
      <c r="C474" s="26"/>
      <c r="D474" s="4" t="s">
        <v>11</v>
      </c>
      <c r="E474" s="2">
        <v>88.702250000000006</v>
      </c>
      <c r="F474" s="29"/>
      <c r="G474" s="38"/>
      <c r="H474" s="2">
        <v>20.186340000000001</v>
      </c>
      <c r="I474" s="29"/>
      <c r="J474" s="38"/>
      <c r="L474" s="31"/>
      <c r="M474" s="33"/>
      <c r="N474" s="26"/>
      <c r="O474" s="5" t="s">
        <v>11</v>
      </c>
      <c r="P474" s="2">
        <v>89.807729999999992</v>
      </c>
      <c r="Q474" s="29"/>
      <c r="R474" s="38"/>
      <c r="S474" s="1">
        <v>21.015859999999996</v>
      </c>
      <c r="T474" s="32"/>
      <c r="U474" s="41"/>
    </row>
    <row r="475" spans="1:21" ht="16" x14ac:dyDescent="0.2">
      <c r="A475" s="31"/>
      <c r="B475" s="33"/>
      <c r="C475" s="26">
        <v>5</v>
      </c>
      <c r="D475" s="4" t="s">
        <v>7</v>
      </c>
      <c r="E475" s="2">
        <v>85.138199999999998</v>
      </c>
      <c r="F475" s="27">
        <f t="shared" ref="F475" si="424">AVERAGE(E475:E479)</f>
        <v>116.555988</v>
      </c>
      <c r="G475" s="38"/>
      <c r="H475" s="2">
        <v>17.713660000000001</v>
      </c>
      <c r="I475" s="27">
        <f t="shared" ref="I475" si="425">AVERAGE(H475:H479)</f>
        <v>23.264620000000001</v>
      </c>
      <c r="J475" s="38"/>
      <c r="L475" s="31"/>
      <c r="M475" s="33"/>
      <c r="N475" s="26">
        <v>5</v>
      </c>
      <c r="O475" s="5" t="s">
        <v>7</v>
      </c>
      <c r="P475" s="2">
        <v>178.94691</v>
      </c>
      <c r="Q475" s="27">
        <f t="shared" ref="Q475" si="426">AVERAGE(P475:P479)</f>
        <v>151.56421800000001</v>
      </c>
      <c r="R475" s="38"/>
      <c r="S475" s="1">
        <v>21.456469999999999</v>
      </c>
      <c r="T475" s="30">
        <f t="shared" ref="T475" si="427">AVERAGE(S475:S479)</f>
        <v>25.495014000000001</v>
      </c>
      <c r="U475" s="41"/>
    </row>
    <row r="476" spans="1:21" ht="16" x14ac:dyDescent="0.2">
      <c r="A476" s="31"/>
      <c r="B476" s="33"/>
      <c r="C476" s="26"/>
      <c r="D476" s="4" t="s">
        <v>8</v>
      </c>
      <c r="E476" s="2">
        <v>127.41086999999999</v>
      </c>
      <c r="F476" s="28"/>
      <c r="G476" s="38"/>
      <c r="H476" s="2">
        <v>21.698730000000001</v>
      </c>
      <c r="I476" s="28"/>
      <c r="J476" s="38"/>
      <c r="L476" s="31"/>
      <c r="M476" s="33"/>
      <c r="N476" s="26"/>
      <c r="O476" s="5" t="s">
        <v>8</v>
      </c>
      <c r="P476" s="2">
        <v>177.73573999999999</v>
      </c>
      <c r="Q476" s="28"/>
      <c r="R476" s="38"/>
      <c r="S476" s="1">
        <v>25.61469</v>
      </c>
      <c r="T476" s="31"/>
      <c r="U476" s="41"/>
    </row>
    <row r="477" spans="1:21" ht="16" x14ac:dyDescent="0.2">
      <c r="A477" s="31"/>
      <c r="B477" s="33"/>
      <c r="C477" s="26"/>
      <c r="D477" s="4" t="s">
        <v>9</v>
      </c>
      <c r="E477" s="2">
        <v>142.26098999999999</v>
      </c>
      <c r="F477" s="28"/>
      <c r="G477" s="38"/>
      <c r="H477" s="2">
        <v>28.446170000000002</v>
      </c>
      <c r="I477" s="28"/>
      <c r="J477" s="38"/>
      <c r="L477" s="31"/>
      <c r="M477" s="33"/>
      <c r="N477" s="26"/>
      <c r="O477" s="5" t="s">
        <v>9</v>
      </c>
      <c r="P477" s="2">
        <v>159.72852</v>
      </c>
      <c r="Q477" s="28"/>
      <c r="R477" s="38"/>
      <c r="S477" s="1">
        <v>21.456469999999999</v>
      </c>
      <c r="T477" s="31"/>
      <c r="U477" s="41"/>
    </row>
    <row r="478" spans="1:21" ht="16" x14ac:dyDescent="0.2">
      <c r="A478" s="31"/>
      <c r="B478" s="33"/>
      <c r="C478" s="26"/>
      <c r="D478" s="4" t="s">
        <v>10</v>
      </c>
      <c r="E478" s="2">
        <v>139.36763000000002</v>
      </c>
      <c r="F478" s="28"/>
      <c r="G478" s="38"/>
      <c r="H478" s="2">
        <v>28.778200000000002</v>
      </c>
      <c r="I478" s="28"/>
      <c r="J478" s="38"/>
      <c r="L478" s="31"/>
      <c r="M478" s="33"/>
      <c r="N478" s="26"/>
      <c r="O478" s="5" t="s">
        <v>10</v>
      </c>
      <c r="P478" s="2">
        <v>140.97255999999999</v>
      </c>
      <c r="Q478" s="28"/>
      <c r="R478" s="38"/>
      <c r="S478" s="1">
        <v>29.760079999999999</v>
      </c>
      <c r="T478" s="31"/>
      <c r="U478" s="41"/>
    </row>
    <row r="479" spans="1:21" ht="16" x14ac:dyDescent="0.2">
      <c r="A479" s="31"/>
      <c r="B479" s="33"/>
      <c r="C479" s="26"/>
      <c r="D479" s="4" t="s">
        <v>11</v>
      </c>
      <c r="E479" s="2">
        <v>88.602249999999998</v>
      </c>
      <c r="F479" s="29"/>
      <c r="G479" s="39"/>
      <c r="H479" s="2">
        <v>19.686340000000001</v>
      </c>
      <c r="I479" s="29"/>
      <c r="J479" s="39"/>
      <c r="L479" s="31"/>
      <c r="M479" s="33"/>
      <c r="N479" s="26"/>
      <c r="O479" s="5" t="s">
        <v>11</v>
      </c>
      <c r="P479" s="2">
        <v>100.43736000000001</v>
      </c>
      <c r="Q479" s="29"/>
      <c r="R479" s="39"/>
      <c r="S479" s="1">
        <v>29.187359999999998</v>
      </c>
      <c r="T479" s="32"/>
      <c r="U479" s="42"/>
    </row>
    <row r="480" spans="1:21" ht="16" x14ac:dyDescent="0.2">
      <c r="A480" s="31"/>
      <c r="B480" s="26">
        <v>2</v>
      </c>
      <c r="C480" s="26">
        <v>1</v>
      </c>
      <c r="D480" s="4" t="s">
        <v>7</v>
      </c>
      <c r="E480" s="2">
        <v>100.4894</v>
      </c>
      <c r="F480" s="27">
        <f t="shared" ref="F480" si="428">AVERAGE(E480:E484)</f>
        <v>96.658452000000011</v>
      </c>
      <c r="G480" s="37">
        <f>AVERAGE(F480:F504)</f>
        <v>112.57845200000001</v>
      </c>
      <c r="H480" s="2">
        <v>10.821059999999999</v>
      </c>
      <c r="I480" s="27">
        <f t="shared" ref="I480" si="429">AVERAGE(H480:H484)</f>
        <v>18.32986</v>
      </c>
      <c r="J480" s="37">
        <f t="shared" ref="J480" si="430">AVERAGE(I480:I504)</f>
        <v>23.293860000000002</v>
      </c>
      <c r="L480" s="31"/>
      <c r="M480" s="33">
        <v>2</v>
      </c>
      <c r="N480" s="26">
        <v>1</v>
      </c>
      <c r="O480" s="5" t="s">
        <v>7</v>
      </c>
      <c r="P480" s="2">
        <v>97.815539999999999</v>
      </c>
      <c r="Q480" s="27">
        <f t="shared" ref="Q480" si="431">AVERAGE(P480:P484)</f>
        <v>101.79760400000001</v>
      </c>
      <c r="R480" s="37">
        <f t="shared" ref="R480" si="432">AVERAGE(Q480:Q504)</f>
        <v>120.2970392</v>
      </c>
      <c r="S480" s="1">
        <v>25.217390000000002</v>
      </c>
      <c r="T480" s="30">
        <f t="shared" ref="T480" si="433">AVERAGE(S480:S484)</f>
        <v>24.113289999999999</v>
      </c>
      <c r="U480" s="40">
        <f t="shared" ref="U480" si="434">AVERAGE(T480:T504)</f>
        <v>24.351362000000002</v>
      </c>
    </row>
    <row r="481" spans="1:21" ht="16" x14ac:dyDescent="0.2">
      <c r="A481" s="31"/>
      <c r="B481" s="26"/>
      <c r="C481" s="26"/>
      <c r="D481" s="4" t="s">
        <v>8</v>
      </c>
      <c r="E481" s="2">
        <v>90.106569999999991</v>
      </c>
      <c r="F481" s="28"/>
      <c r="G481" s="38"/>
      <c r="H481" s="2">
        <v>17.246859999999998</v>
      </c>
      <c r="I481" s="28"/>
      <c r="J481" s="38"/>
      <c r="L481" s="31"/>
      <c r="M481" s="33"/>
      <c r="N481" s="26"/>
      <c r="O481" s="5" t="s">
        <v>8</v>
      </c>
      <c r="P481" s="2">
        <v>98.022450000000006</v>
      </c>
      <c r="Q481" s="28"/>
      <c r="R481" s="38"/>
      <c r="S481" s="1">
        <v>24.26511</v>
      </c>
      <c r="T481" s="31"/>
      <c r="U481" s="41"/>
    </row>
    <row r="482" spans="1:21" ht="16" x14ac:dyDescent="0.2">
      <c r="A482" s="31"/>
      <c r="B482" s="26"/>
      <c r="C482" s="26"/>
      <c r="D482" s="4" t="s">
        <v>9</v>
      </c>
      <c r="E482" s="2">
        <v>104.70551999999999</v>
      </c>
      <c r="F482" s="28"/>
      <c r="G482" s="38"/>
      <c r="H482" s="2">
        <v>22.030329999999999</v>
      </c>
      <c r="I482" s="28"/>
      <c r="J482" s="38"/>
      <c r="L482" s="31"/>
      <c r="M482" s="33"/>
      <c r="N482" s="26"/>
      <c r="O482" s="5" t="s">
        <v>9</v>
      </c>
      <c r="P482" s="2">
        <v>113.05941000000001</v>
      </c>
      <c r="Q482" s="28"/>
      <c r="R482" s="38"/>
      <c r="S482" s="1">
        <v>24.366190000000003</v>
      </c>
      <c r="T482" s="31"/>
      <c r="U482" s="41"/>
    </row>
    <row r="483" spans="1:21" ht="16" x14ac:dyDescent="0.2">
      <c r="A483" s="31"/>
      <c r="B483" s="26"/>
      <c r="C483" s="26"/>
      <c r="D483" s="4" t="s">
        <v>10</v>
      </c>
      <c r="E483" s="2">
        <v>98.309670000000011</v>
      </c>
      <c r="F483" s="28"/>
      <c r="G483" s="38"/>
      <c r="H483" s="2">
        <v>19.94717</v>
      </c>
      <c r="I483" s="28"/>
      <c r="J483" s="38"/>
      <c r="L483" s="31"/>
      <c r="M483" s="33"/>
      <c r="N483" s="26"/>
      <c r="O483" s="5" t="s">
        <v>10</v>
      </c>
      <c r="P483" s="2">
        <v>122.29745000000001</v>
      </c>
      <c r="Q483" s="28"/>
      <c r="R483" s="38"/>
      <c r="S483" s="1">
        <v>20.039339999999999</v>
      </c>
      <c r="T483" s="31"/>
      <c r="U483" s="41"/>
    </row>
    <row r="484" spans="1:21" ht="16" x14ac:dyDescent="0.2">
      <c r="A484" s="31"/>
      <c r="B484" s="26"/>
      <c r="C484" s="26"/>
      <c r="D484" s="4" t="s">
        <v>11</v>
      </c>
      <c r="E484" s="2">
        <v>89.681100000000001</v>
      </c>
      <c r="F484" s="29"/>
      <c r="G484" s="38"/>
      <c r="H484" s="2">
        <v>21.60388</v>
      </c>
      <c r="I484" s="29"/>
      <c r="J484" s="38"/>
      <c r="L484" s="31"/>
      <c r="M484" s="33"/>
      <c r="N484" s="26"/>
      <c r="O484" s="5" t="s">
        <v>11</v>
      </c>
      <c r="P484" s="2">
        <v>77.793170000000003</v>
      </c>
      <c r="Q484" s="29"/>
      <c r="R484" s="38"/>
      <c r="S484" s="1">
        <v>26.678420000000003</v>
      </c>
      <c r="T484" s="32"/>
      <c r="U484" s="41"/>
    </row>
    <row r="485" spans="1:21" ht="16" x14ac:dyDescent="0.2">
      <c r="A485" s="31"/>
      <c r="B485" s="26"/>
      <c r="C485" s="26">
        <v>2</v>
      </c>
      <c r="D485" s="4" t="s">
        <v>7</v>
      </c>
      <c r="E485" s="2">
        <v>120.4894</v>
      </c>
      <c r="F485" s="27">
        <f t="shared" ref="F485" si="435">AVERAGE(E485:E489)</f>
        <v>124.25845200000001</v>
      </c>
      <c r="G485" s="38"/>
      <c r="H485" s="2">
        <v>20.821060000000003</v>
      </c>
      <c r="I485" s="27">
        <f t="shared" ref="I485" si="436">AVERAGE(H485:H489)</f>
        <v>24.529860000000003</v>
      </c>
      <c r="J485" s="38"/>
      <c r="L485" s="31"/>
      <c r="M485" s="33"/>
      <c r="N485" s="26">
        <v>2</v>
      </c>
      <c r="O485" s="5" t="s">
        <v>7</v>
      </c>
      <c r="P485" s="2">
        <v>145.67616000000001</v>
      </c>
      <c r="Q485" s="27">
        <f t="shared" ref="Q485" si="437">AVERAGE(P485:P489)</f>
        <v>140.689874</v>
      </c>
      <c r="R485" s="38"/>
      <c r="S485" s="1">
        <v>19.778859999999998</v>
      </c>
      <c r="T485" s="30">
        <f t="shared" ref="T485" si="438">AVERAGE(S485:S489)</f>
        <v>24.635430000000003</v>
      </c>
      <c r="U485" s="41"/>
    </row>
    <row r="486" spans="1:21" ht="16" x14ac:dyDescent="0.2">
      <c r="A486" s="31"/>
      <c r="B486" s="26"/>
      <c r="C486" s="26"/>
      <c r="D486" s="4" t="s">
        <v>8</v>
      </c>
      <c r="E486" s="2">
        <v>98.106569999999991</v>
      </c>
      <c r="F486" s="28"/>
      <c r="G486" s="38"/>
      <c r="H486" s="2">
        <v>27.246860000000002</v>
      </c>
      <c r="I486" s="28"/>
      <c r="J486" s="38"/>
      <c r="L486" s="31"/>
      <c r="M486" s="33"/>
      <c r="N486" s="26"/>
      <c r="O486" s="5" t="s">
        <v>8</v>
      </c>
      <c r="P486" s="2">
        <v>144.96831</v>
      </c>
      <c r="Q486" s="28"/>
      <c r="R486" s="38"/>
      <c r="S486" s="1">
        <v>29.677330000000001</v>
      </c>
      <c r="T486" s="31"/>
      <c r="U486" s="41"/>
    </row>
    <row r="487" spans="1:21" ht="16" x14ac:dyDescent="0.2">
      <c r="A487" s="31"/>
      <c r="B487" s="26"/>
      <c r="C487" s="26"/>
      <c r="D487" s="4" t="s">
        <v>9</v>
      </c>
      <c r="E487" s="2">
        <v>104.70551999999999</v>
      </c>
      <c r="F487" s="28"/>
      <c r="G487" s="38"/>
      <c r="H487" s="2">
        <v>22.030329999999999</v>
      </c>
      <c r="I487" s="28"/>
      <c r="J487" s="38"/>
      <c r="L487" s="31"/>
      <c r="M487" s="33"/>
      <c r="N487" s="26"/>
      <c r="O487" s="5" t="s">
        <v>9</v>
      </c>
      <c r="P487" s="2">
        <v>148.29517999999999</v>
      </c>
      <c r="Q487" s="28"/>
      <c r="R487" s="38"/>
      <c r="S487" s="1">
        <v>24.779330000000002</v>
      </c>
      <c r="T487" s="31"/>
      <c r="U487" s="41"/>
    </row>
    <row r="488" spans="1:21" ht="16" x14ac:dyDescent="0.2">
      <c r="A488" s="31"/>
      <c r="B488" s="26"/>
      <c r="C488" s="26"/>
      <c r="D488" s="4" t="s">
        <v>10</v>
      </c>
      <c r="E488" s="2">
        <v>158.30967000000001</v>
      </c>
      <c r="F488" s="28"/>
      <c r="G488" s="38"/>
      <c r="H488" s="2">
        <v>30.94717</v>
      </c>
      <c r="I488" s="28"/>
      <c r="J488" s="38"/>
      <c r="L488" s="31"/>
      <c r="M488" s="33"/>
      <c r="N488" s="26"/>
      <c r="O488" s="5" t="s">
        <v>10</v>
      </c>
      <c r="P488" s="2">
        <v>147.92079999999999</v>
      </c>
      <c r="Q488" s="28"/>
      <c r="R488" s="38"/>
      <c r="S488" s="1">
        <v>21.465169999999997</v>
      </c>
      <c r="T488" s="31"/>
      <c r="U488" s="41"/>
    </row>
    <row r="489" spans="1:21" ht="16" x14ac:dyDescent="0.2">
      <c r="A489" s="31"/>
      <c r="B489" s="26"/>
      <c r="C489" s="26"/>
      <c r="D489" s="4" t="s">
        <v>11</v>
      </c>
      <c r="E489" s="2">
        <v>139.68110000000001</v>
      </c>
      <c r="F489" s="29"/>
      <c r="G489" s="38"/>
      <c r="H489" s="2">
        <v>21.60388</v>
      </c>
      <c r="I489" s="29"/>
      <c r="J489" s="38"/>
      <c r="L489" s="31"/>
      <c r="M489" s="33"/>
      <c r="N489" s="26"/>
      <c r="O489" s="5" t="s">
        <v>11</v>
      </c>
      <c r="P489" s="2">
        <v>116.58892</v>
      </c>
      <c r="Q489" s="29"/>
      <c r="R489" s="38"/>
      <c r="S489" s="1">
        <v>27.476460000000003</v>
      </c>
      <c r="T489" s="32"/>
      <c r="U489" s="41"/>
    </row>
    <row r="490" spans="1:21" ht="16" x14ac:dyDescent="0.2">
      <c r="A490" s="31"/>
      <c r="B490" s="26"/>
      <c r="C490" s="26">
        <v>3</v>
      </c>
      <c r="D490" s="4" t="s">
        <v>7</v>
      </c>
      <c r="E490" s="2">
        <v>111.4894</v>
      </c>
      <c r="F490" s="27">
        <f t="shared" ref="F490" si="439">AVERAGE(E490:E494)</f>
        <v>111.85845200000001</v>
      </c>
      <c r="G490" s="38"/>
      <c r="H490" s="2">
        <v>29.821060000000003</v>
      </c>
      <c r="I490" s="27">
        <f t="shared" ref="I490" si="440">AVERAGE(H490:H494)</f>
        <v>22.969860000000001</v>
      </c>
      <c r="J490" s="38"/>
      <c r="L490" s="31"/>
      <c r="M490" s="33"/>
      <c r="N490" s="26">
        <v>3</v>
      </c>
      <c r="O490" s="5" t="s">
        <v>7</v>
      </c>
      <c r="P490" s="2">
        <v>95.921229999999994</v>
      </c>
      <c r="Q490" s="27">
        <f t="shared" ref="Q490" si="441">AVERAGE(P490:P494)</f>
        <v>104.51001799999999</v>
      </c>
      <c r="R490" s="38"/>
      <c r="S490" s="1">
        <v>21.176210000000001</v>
      </c>
      <c r="T490" s="30">
        <f t="shared" ref="T490" si="442">AVERAGE(S490:S494)</f>
        <v>22.556180000000001</v>
      </c>
      <c r="U490" s="41"/>
    </row>
    <row r="491" spans="1:21" ht="16" x14ac:dyDescent="0.2">
      <c r="A491" s="31"/>
      <c r="B491" s="26"/>
      <c r="C491" s="26"/>
      <c r="D491" s="4" t="s">
        <v>8</v>
      </c>
      <c r="E491" s="2">
        <v>95.106569999999991</v>
      </c>
      <c r="F491" s="28"/>
      <c r="G491" s="38"/>
      <c r="H491" s="2">
        <v>19.446860000000001</v>
      </c>
      <c r="I491" s="28"/>
      <c r="J491" s="38"/>
      <c r="L491" s="31"/>
      <c r="M491" s="33"/>
      <c r="N491" s="26"/>
      <c r="O491" s="5" t="s">
        <v>8</v>
      </c>
      <c r="P491" s="2">
        <v>96.204959999999986</v>
      </c>
      <c r="Q491" s="28"/>
      <c r="R491" s="38"/>
      <c r="S491" s="1">
        <v>20.531640000000003</v>
      </c>
      <c r="T491" s="31"/>
      <c r="U491" s="41"/>
    </row>
    <row r="492" spans="1:21" ht="16" x14ac:dyDescent="0.2">
      <c r="A492" s="31"/>
      <c r="B492" s="26"/>
      <c r="C492" s="26"/>
      <c r="D492" s="4" t="s">
        <v>9</v>
      </c>
      <c r="E492" s="2">
        <v>104.70551999999999</v>
      </c>
      <c r="F492" s="28"/>
      <c r="G492" s="38"/>
      <c r="H492" s="2">
        <v>14.030329999999999</v>
      </c>
      <c r="I492" s="28"/>
      <c r="J492" s="38"/>
      <c r="L492" s="31"/>
      <c r="M492" s="33"/>
      <c r="N492" s="26"/>
      <c r="O492" s="5" t="s">
        <v>9</v>
      </c>
      <c r="P492" s="2">
        <v>141.15783999999999</v>
      </c>
      <c r="Q492" s="28"/>
      <c r="R492" s="38"/>
      <c r="S492" s="1">
        <v>24.26511</v>
      </c>
      <c r="T492" s="31"/>
      <c r="U492" s="41"/>
    </row>
    <row r="493" spans="1:21" ht="16" x14ac:dyDescent="0.2">
      <c r="A493" s="31"/>
      <c r="B493" s="26"/>
      <c r="C493" s="26"/>
      <c r="D493" s="4" t="s">
        <v>10</v>
      </c>
      <c r="E493" s="2">
        <v>98.309670000000011</v>
      </c>
      <c r="F493" s="28"/>
      <c r="G493" s="38"/>
      <c r="H493" s="2">
        <v>29.94717</v>
      </c>
      <c r="I493" s="28"/>
      <c r="J493" s="38"/>
      <c r="L493" s="31"/>
      <c r="M493" s="33"/>
      <c r="N493" s="26"/>
      <c r="O493" s="5" t="s">
        <v>10</v>
      </c>
      <c r="P493" s="2">
        <v>99.423009999999991</v>
      </c>
      <c r="Q493" s="28"/>
      <c r="R493" s="38"/>
      <c r="S493" s="1">
        <v>25.54073</v>
      </c>
      <c r="T493" s="31"/>
      <c r="U493" s="41"/>
    </row>
    <row r="494" spans="1:21" ht="16" x14ac:dyDescent="0.2">
      <c r="A494" s="31"/>
      <c r="B494" s="26"/>
      <c r="C494" s="26"/>
      <c r="D494" s="4" t="s">
        <v>11</v>
      </c>
      <c r="E494" s="2">
        <v>149.68110000000001</v>
      </c>
      <c r="F494" s="29"/>
      <c r="G494" s="38"/>
      <c r="H494" s="2">
        <v>21.60388</v>
      </c>
      <c r="I494" s="29"/>
      <c r="J494" s="38"/>
      <c r="L494" s="31"/>
      <c r="M494" s="33"/>
      <c r="N494" s="26"/>
      <c r="O494" s="5" t="s">
        <v>11</v>
      </c>
      <c r="P494" s="2">
        <v>89.843050000000005</v>
      </c>
      <c r="Q494" s="29"/>
      <c r="R494" s="38"/>
      <c r="S494" s="1">
        <v>21.267209999999999</v>
      </c>
      <c r="T494" s="32"/>
      <c r="U494" s="41"/>
    </row>
    <row r="495" spans="1:21" ht="16" x14ac:dyDescent="0.2">
      <c r="A495" s="31"/>
      <c r="B495" s="26"/>
      <c r="C495" s="26">
        <v>4</v>
      </c>
      <c r="D495" s="4" t="s">
        <v>7</v>
      </c>
      <c r="E495" s="2">
        <v>144.48940000000002</v>
      </c>
      <c r="F495" s="27">
        <f t="shared" ref="F495" si="443">AVERAGE(E495:E499)</f>
        <v>119.45845200000001</v>
      </c>
      <c r="G495" s="38"/>
      <c r="H495" s="2">
        <v>10.821059999999999</v>
      </c>
      <c r="I495" s="27">
        <f t="shared" ref="I495" si="444">AVERAGE(H495:H499)</f>
        <v>24.129860000000001</v>
      </c>
      <c r="J495" s="38"/>
      <c r="L495" s="31"/>
      <c r="M495" s="33"/>
      <c r="N495" s="26">
        <v>4</v>
      </c>
      <c r="O495" s="5" t="s">
        <v>7</v>
      </c>
      <c r="P495" s="2">
        <v>91.690089999999998</v>
      </c>
      <c r="Q495" s="27">
        <f t="shared" ref="Q495" si="445">AVERAGE(P495:P499)</f>
        <v>102.92348200000001</v>
      </c>
      <c r="R495" s="38"/>
      <c r="S495" s="1">
        <v>21.267209999999999</v>
      </c>
      <c r="T495" s="30">
        <f t="shared" ref="T495" si="446">AVERAGE(S495:S499)</f>
        <v>24.956896</v>
      </c>
      <c r="U495" s="41"/>
    </row>
    <row r="496" spans="1:21" ht="16" x14ac:dyDescent="0.2">
      <c r="A496" s="31"/>
      <c r="B496" s="26"/>
      <c r="C496" s="26"/>
      <c r="D496" s="4" t="s">
        <v>8</v>
      </c>
      <c r="E496" s="2">
        <v>100.10656999999999</v>
      </c>
      <c r="F496" s="28"/>
      <c r="G496" s="38"/>
      <c r="H496" s="2">
        <v>29.246860000000002</v>
      </c>
      <c r="I496" s="28"/>
      <c r="J496" s="38"/>
      <c r="L496" s="31"/>
      <c r="M496" s="33"/>
      <c r="N496" s="26"/>
      <c r="O496" s="5" t="s">
        <v>8</v>
      </c>
      <c r="P496" s="2">
        <v>134.57664</v>
      </c>
      <c r="Q496" s="28"/>
      <c r="R496" s="38"/>
      <c r="S496" s="1">
        <v>27.59357</v>
      </c>
      <c r="T496" s="31"/>
      <c r="U496" s="41"/>
    </row>
    <row r="497" spans="1:21" ht="16" x14ac:dyDescent="0.2">
      <c r="A497" s="31"/>
      <c r="B497" s="26"/>
      <c r="C497" s="26"/>
      <c r="D497" s="4" t="s">
        <v>9</v>
      </c>
      <c r="E497" s="2">
        <v>104.70551999999999</v>
      </c>
      <c r="F497" s="28"/>
      <c r="G497" s="38"/>
      <c r="H497" s="2">
        <v>32.030329999999999</v>
      </c>
      <c r="I497" s="28"/>
      <c r="J497" s="38"/>
      <c r="L497" s="31"/>
      <c r="M497" s="33"/>
      <c r="N497" s="26"/>
      <c r="O497" s="5" t="s">
        <v>9</v>
      </c>
      <c r="P497" s="2">
        <v>92.559460000000001</v>
      </c>
      <c r="Q497" s="28"/>
      <c r="R497" s="38"/>
      <c r="S497" s="1">
        <v>28.38335</v>
      </c>
      <c r="T497" s="31"/>
      <c r="U497" s="41"/>
    </row>
    <row r="498" spans="1:21" ht="16" x14ac:dyDescent="0.2">
      <c r="A498" s="31"/>
      <c r="B498" s="26"/>
      <c r="C498" s="26"/>
      <c r="D498" s="4" t="s">
        <v>10</v>
      </c>
      <c r="E498" s="2">
        <v>148.30967000000001</v>
      </c>
      <c r="F498" s="28"/>
      <c r="G498" s="38"/>
      <c r="H498" s="2">
        <v>26.94717</v>
      </c>
      <c r="I498" s="28"/>
      <c r="J498" s="38"/>
      <c r="L498" s="31"/>
      <c r="M498" s="33"/>
      <c r="N498" s="26"/>
      <c r="O498" s="5" t="s">
        <v>10</v>
      </c>
      <c r="P498" s="2">
        <v>95.983490000000003</v>
      </c>
      <c r="Q498" s="28"/>
      <c r="R498" s="38"/>
      <c r="S498" s="1">
        <v>24.52449</v>
      </c>
      <c r="T498" s="31"/>
      <c r="U498" s="41"/>
    </row>
    <row r="499" spans="1:21" ht="16" x14ac:dyDescent="0.2">
      <c r="A499" s="31"/>
      <c r="B499" s="26"/>
      <c r="C499" s="26"/>
      <c r="D499" s="4" t="s">
        <v>11</v>
      </c>
      <c r="E499" s="2">
        <v>99.681100000000001</v>
      </c>
      <c r="F499" s="29"/>
      <c r="G499" s="38"/>
      <c r="H499" s="2">
        <v>21.60388</v>
      </c>
      <c r="I499" s="29"/>
      <c r="J499" s="38"/>
      <c r="L499" s="31"/>
      <c r="M499" s="33"/>
      <c r="N499" s="26"/>
      <c r="O499" s="5" t="s">
        <v>11</v>
      </c>
      <c r="P499" s="2">
        <v>99.807729999999992</v>
      </c>
      <c r="Q499" s="29"/>
      <c r="R499" s="38"/>
      <c r="S499" s="1">
        <v>23.015859999999996</v>
      </c>
      <c r="T499" s="32"/>
      <c r="U499" s="41"/>
    </row>
    <row r="500" spans="1:21" ht="16" x14ac:dyDescent="0.2">
      <c r="A500" s="31"/>
      <c r="B500" s="26"/>
      <c r="C500" s="26">
        <v>5</v>
      </c>
      <c r="D500" s="4" t="s">
        <v>7</v>
      </c>
      <c r="E500" s="2">
        <v>100.4894</v>
      </c>
      <c r="F500" s="27">
        <f t="shared" ref="F500" si="447">AVERAGE(E500:E504)</f>
        <v>110.65845200000001</v>
      </c>
      <c r="G500" s="38"/>
      <c r="H500" s="2">
        <v>22.821060000000003</v>
      </c>
      <c r="I500" s="27">
        <f t="shared" ref="I500" si="448">AVERAGE(H500:H504)</f>
        <v>26.509860000000003</v>
      </c>
      <c r="J500" s="38"/>
      <c r="L500" s="31"/>
      <c r="M500" s="33"/>
      <c r="N500" s="26">
        <v>5</v>
      </c>
      <c r="O500" s="5" t="s">
        <v>7</v>
      </c>
      <c r="P500" s="2">
        <v>178.94691</v>
      </c>
      <c r="Q500" s="27">
        <f t="shared" ref="Q500" si="449">AVERAGE(P500:P504)</f>
        <v>151.56421800000001</v>
      </c>
      <c r="R500" s="38"/>
      <c r="S500" s="1">
        <v>21.456469999999999</v>
      </c>
      <c r="T500" s="30">
        <f t="shared" ref="T500" si="450">AVERAGE(S500:S504)</f>
        <v>25.495014000000001</v>
      </c>
      <c r="U500" s="41"/>
    </row>
    <row r="501" spans="1:21" ht="16" x14ac:dyDescent="0.2">
      <c r="A501" s="31"/>
      <c r="B501" s="26"/>
      <c r="C501" s="26"/>
      <c r="D501" s="4" t="s">
        <v>8</v>
      </c>
      <c r="E501" s="2">
        <v>90.106569999999991</v>
      </c>
      <c r="F501" s="28"/>
      <c r="G501" s="38"/>
      <c r="H501" s="2">
        <v>28.14686</v>
      </c>
      <c r="I501" s="28"/>
      <c r="J501" s="38"/>
      <c r="L501" s="31"/>
      <c r="M501" s="33"/>
      <c r="N501" s="26"/>
      <c r="O501" s="5" t="s">
        <v>8</v>
      </c>
      <c r="P501" s="2">
        <v>177.73573999999999</v>
      </c>
      <c r="Q501" s="28"/>
      <c r="R501" s="38"/>
      <c r="S501" s="1">
        <v>25.61469</v>
      </c>
      <c r="T501" s="31"/>
      <c r="U501" s="41"/>
    </row>
    <row r="502" spans="1:21" ht="16" x14ac:dyDescent="0.2">
      <c r="A502" s="31"/>
      <c r="B502" s="26"/>
      <c r="C502" s="26"/>
      <c r="D502" s="4" t="s">
        <v>9</v>
      </c>
      <c r="E502" s="2">
        <v>104.70551999999999</v>
      </c>
      <c r="F502" s="28"/>
      <c r="G502" s="38"/>
      <c r="H502" s="2">
        <v>32.030329999999999</v>
      </c>
      <c r="I502" s="28"/>
      <c r="J502" s="38"/>
      <c r="L502" s="31"/>
      <c r="M502" s="33"/>
      <c r="N502" s="26"/>
      <c r="O502" s="5" t="s">
        <v>9</v>
      </c>
      <c r="P502" s="2">
        <v>159.72852</v>
      </c>
      <c r="Q502" s="28"/>
      <c r="R502" s="38"/>
      <c r="S502" s="1">
        <v>21.456469999999999</v>
      </c>
      <c r="T502" s="31"/>
      <c r="U502" s="41"/>
    </row>
    <row r="503" spans="1:21" ht="16" x14ac:dyDescent="0.2">
      <c r="A503" s="31"/>
      <c r="B503" s="26"/>
      <c r="C503" s="26"/>
      <c r="D503" s="4" t="s">
        <v>10</v>
      </c>
      <c r="E503" s="2">
        <v>98.309670000000011</v>
      </c>
      <c r="F503" s="28"/>
      <c r="G503" s="38"/>
      <c r="H503" s="2">
        <v>27.94717</v>
      </c>
      <c r="I503" s="28"/>
      <c r="J503" s="38"/>
      <c r="L503" s="31"/>
      <c r="M503" s="33"/>
      <c r="N503" s="26"/>
      <c r="O503" s="5" t="s">
        <v>10</v>
      </c>
      <c r="P503" s="2">
        <v>140.97255999999999</v>
      </c>
      <c r="Q503" s="28"/>
      <c r="R503" s="38"/>
      <c r="S503" s="1">
        <v>29.760079999999999</v>
      </c>
      <c r="T503" s="31"/>
      <c r="U503" s="41"/>
    </row>
    <row r="504" spans="1:21" ht="16" x14ac:dyDescent="0.2">
      <c r="A504" s="31"/>
      <c r="B504" s="26"/>
      <c r="C504" s="26"/>
      <c r="D504" s="4" t="s">
        <v>11</v>
      </c>
      <c r="E504" s="2">
        <v>159.68110000000001</v>
      </c>
      <c r="F504" s="29"/>
      <c r="G504" s="39"/>
      <c r="H504" s="2">
        <v>21.60388</v>
      </c>
      <c r="I504" s="29"/>
      <c r="J504" s="39"/>
      <c r="L504" s="31"/>
      <c r="M504" s="33"/>
      <c r="N504" s="26"/>
      <c r="O504" s="5" t="s">
        <v>11</v>
      </c>
      <c r="P504" s="2">
        <v>100.43736000000001</v>
      </c>
      <c r="Q504" s="29"/>
      <c r="R504" s="39"/>
      <c r="S504" s="1">
        <v>29.187359999999998</v>
      </c>
      <c r="T504" s="32"/>
      <c r="U504" s="42"/>
    </row>
    <row r="505" spans="1:21" ht="16" x14ac:dyDescent="0.2">
      <c r="A505" s="31"/>
      <c r="B505" s="33">
        <v>3</v>
      </c>
      <c r="C505" s="26">
        <v>1</v>
      </c>
      <c r="D505" s="4" t="s">
        <v>7</v>
      </c>
      <c r="E505" s="2">
        <v>106.35254999999999</v>
      </c>
      <c r="F505" s="27">
        <f t="shared" ref="F505" si="451">AVERAGE(E505:E509)</f>
        <v>113.57481800000001</v>
      </c>
      <c r="G505" s="37">
        <f>AVERAGE(F505:F529)</f>
        <v>110.76076279999999</v>
      </c>
      <c r="H505" s="2">
        <v>24.594290000000001</v>
      </c>
      <c r="I505" s="27">
        <f t="shared" ref="I505" si="452">AVERAGE(H505:H509)</f>
        <v>21.798033999999998</v>
      </c>
      <c r="J505" s="37">
        <f t="shared" ref="J505" si="453">AVERAGE(I505:I529)</f>
        <v>23.500935599999998</v>
      </c>
      <c r="L505" s="31"/>
      <c r="M505" s="33">
        <v>3</v>
      </c>
      <c r="N505" s="26">
        <v>1</v>
      </c>
      <c r="O505" s="5" t="s">
        <v>7</v>
      </c>
      <c r="P505" s="2">
        <v>137.83086</v>
      </c>
      <c r="Q505" s="27">
        <f t="shared" ref="Q505" si="454">AVERAGE(P505:P509)</f>
        <v>130.74338200000003</v>
      </c>
      <c r="R505" s="37">
        <f t="shared" ref="R505" si="455">AVERAGE(Q505:Q529)</f>
        <v>129.41585480000001</v>
      </c>
      <c r="S505" s="1">
        <v>31.896470000000001</v>
      </c>
      <c r="T505" s="30">
        <f t="shared" ref="T505" si="456">AVERAGE(S505:S509)</f>
        <v>26.089773999999998</v>
      </c>
      <c r="U505" s="40">
        <f t="shared" ref="U505" si="457">AVERAGE(T505:T529)</f>
        <v>23.432901599999997</v>
      </c>
    </row>
    <row r="506" spans="1:21" ht="16" x14ac:dyDescent="0.2">
      <c r="A506" s="31"/>
      <c r="B506" s="33"/>
      <c r="C506" s="26"/>
      <c r="D506" s="4" t="s">
        <v>8</v>
      </c>
      <c r="E506" s="2">
        <v>101.13939000000001</v>
      </c>
      <c r="F506" s="28"/>
      <c r="G506" s="38"/>
      <c r="H506" s="2">
        <v>21.87866</v>
      </c>
      <c r="I506" s="28"/>
      <c r="J506" s="38"/>
      <c r="L506" s="31"/>
      <c r="M506" s="33"/>
      <c r="N506" s="26"/>
      <c r="O506" s="5" t="s">
        <v>8</v>
      </c>
      <c r="P506" s="2">
        <v>160.04759000000001</v>
      </c>
      <c r="Q506" s="28"/>
      <c r="R506" s="38"/>
      <c r="S506" s="1">
        <v>29.15014</v>
      </c>
      <c r="T506" s="31"/>
      <c r="U506" s="41"/>
    </row>
    <row r="507" spans="1:21" ht="16" x14ac:dyDescent="0.2">
      <c r="A507" s="31"/>
      <c r="B507" s="33"/>
      <c r="C507" s="26"/>
      <c r="D507" s="4" t="s">
        <v>9</v>
      </c>
      <c r="E507" s="2">
        <v>131.32705999999999</v>
      </c>
      <c r="F507" s="28"/>
      <c r="G507" s="38"/>
      <c r="H507" s="2">
        <v>22.242559999999997</v>
      </c>
      <c r="I507" s="28"/>
      <c r="J507" s="38"/>
      <c r="L507" s="31"/>
      <c r="M507" s="33"/>
      <c r="N507" s="26"/>
      <c r="O507" s="5" t="s">
        <v>9</v>
      </c>
      <c r="P507" s="2">
        <v>92.330089999999998</v>
      </c>
      <c r="Q507" s="28"/>
      <c r="R507" s="38"/>
      <c r="S507" s="1">
        <v>18.58437</v>
      </c>
      <c r="T507" s="31"/>
      <c r="U507" s="41"/>
    </row>
    <row r="508" spans="1:21" ht="16" x14ac:dyDescent="0.2">
      <c r="A508" s="31"/>
      <c r="B508" s="33"/>
      <c r="C508" s="26"/>
      <c r="D508" s="4" t="s">
        <v>10</v>
      </c>
      <c r="E508" s="2">
        <v>109.21567999999999</v>
      </c>
      <c r="F508" s="28"/>
      <c r="G508" s="38"/>
      <c r="H508" s="2">
        <v>26.543020000000002</v>
      </c>
      <c r="I508" s="28"/>
      <c r="J508" s="38"/>
      <c r="L508" s="31"/>
      <c r="M508" s="33"/>
      <c r="N508" s="26"/>
      <c r="O508" s="5" t="s">
        <v>10</v>
      </c>
      <c r="P508" s="2">
        <v>165.15351999999999</v>
      </c>
      <c r="Q508" s="28"/>
      <c r="R508" s="38"/>
      <c r="S508" s="1">
        <v>28.13485</v>
      </c>
      <c r="T508" s="31"/>
      <c r="U508" s="41"/>
    </row>
    <row r="509" spans="1:21" ht="16" x14ac:dyDescent="0.2">
      <c r="A509" s="31"/>
      <c r="B509" s="33"/>
      <c r="C509" s="26"/>
      <c r="D509" s="4" t="s">
        <v>11</v>
      </c>
      <c r="E509" s="2">
        <v>119.83941</v>
      </c>
      <c r="F509" s="29"/>
      <c r="G509" s="38"/>
      <c r="H509" s="2">
        <v>13.731640000000001</v>
      </c>
      <c r="I509" s="29"/>
      <c r="J509" s="38"/>
      <c r="L509" s="31"/>
      <c r="M509" s="33"/>
      <c r="N509" s="26"/>
      <c r="O509" s="5" t="s">
        <v>11</v>
      </c>
      <c r="P509" s="2">
        <v>98.354849999999999</v>
      </c>
      <c r="Q509" s="29"/>
      <c r="R509" s="38"/>
      <c r="S509" s="1">
        <v>22.683040000000002</v>
      </c>
      <c r="T509" s="32"/>
      <c r="U509" s="41"/>
    </row>
    <row r="510" spans="1:21" ht="16" x14ac:dyDescent="0.2">
      <c r="A510" s="31"/>
      <c r="B510" s="33"/>
      <c r="C510" s="26">
        <v>2</v>
      </c>
      <c r="D510" s="4" t="s">
        <v>7</v>
      </c>
      <c r="E510" s="2">
        <v>100.22150999999999</v>
      </c>
      <c r="F510" s="27">
        <f t="shared" ref="F510" si="458">AVERAGE(E510:E514)</f>
        <v>120.78787800000001</v>
      </c>
      <c r="G510" s="38"/>
      <c r="H510" s="2">
        <v>18.684649999999998</v>
      </c>
      <c r="I510" s="27">
        <f t="shared" ref="I510" si="459">AVERAGE(H510:H514)</f>
        <v>23.638207999999999</v>
      </c>
      <c r="J510" s="38"/>
      <c r="L510" s="31"/>
      <c r="M510" s="33"/>
      <c r="N510" s="26">
        <v>2</v>
      </c>
      <c r="O510" s="5" t="s">
        <v>7</v>
      </c>
      <c r="P510" s="2">
        <v>95.416610000000006</v>
      </c>
      <c r="Q510" s="27">
        <f t="shared" ref="Q510" si="460">AVERAGE(P510:P514)</f>
        <v>122.05058800000002</v>
      </c>
      <c r="R510" s="38"/>
      <c r="S510" s="1">
        <v>20.780470000000001</v>
      </c>
      <c r="T510" s="30">
        <f t="shared" ref="T510" si="461">AVERAGE(S510:S514)</f>
        <v>23.769834000000003</v>
      </c>
      <c r="U510" s="41"/>
    </row>
    <row r="511" spans="1:21" ht="16" x14ac:dyDescent="0.2">
      <c r="A511" s="31"/>
      <c r="B511" s="33"/>
      <c r="C511" s="26"/>
      <c r="D511" s="4" t="s">
        <v>8</v>
      </c>
      <c r="E511" s="2">
        <v>97.098739999999992</v>
      </c>
      <c r="F511" s="28"/>
      <c r="G511" s="38"/>
      <c r="H511" s="2">
        <v>22.537700000000001</v>
      </c>
      <c r="I511" s="28"/>
      <c r="J511" s="38"/>
      <c r="L511" s="31"/>
      <c r="M511" s="33"/>
      <c r="N511" s="26"/>
      <c r="O511" s="5" t="s">
        <v>8</v>
      </c>
      <c r="P511" s="2">
        <v>99.932760000000002</v>
      </c>
      <c r="Q511" s="28"/>
      <c r="R511" s="38"/>
      <c r="S511" s="1">
        <v>27.944389999999999</v>
      </c>
      <c r="T511" s="31"/>
      <c r="U511" s="41"/>
    </row>
    <row r="512" spans="1:21" ht="16" x14ac:dyDescent="0.2">
      <c r="A512" s="31"/>
      <c r="B512" s="33"/>
      <c r="C512" s="26"/>
      <c r="D512" s="4" t="s">
        <v>9</v>
      </c>
      <c r="E512" s="2">
        <v>122.04015</v>
      </c>
      <c r="F512" s="28"/>
      <c r="G512" s="38"/>
      <c r="H512" s="2">
        <v>22.962229999999998</v>
      </c>
      <c r="I512" s="28"/>
      <c r="J512" s="38"/>
      <c r="L512" s="31"/>
      <c r="M512" s="33"/>
      <c r="N512" s="26"/>
      <c r="O512" s="5" t="s">
        <v>9</v>
      </c>
      <c r="P512" s="2">
        <v>129.19935999999998</v>
      </c>
      <c r="Q512" s="28"/>
      <c r="R512" s="38"/>
      <c r="S512" s="1">
        <v>20.811610000000002</v>
      </c>
      <c r="T512" s="31"/>
      <c r="U512" s="41"/>
    </row>
    <row r="513" spans="1:21" ht="16" x14ac:dyDescent="0.2">
      <c r="A513" s="31"/>
      <c r="B513" s="33"/>
      <c r="C513" s="26"/>
      <c r="D513" s="4" t="s">
        <v>10</v>
      </c>
      <c r="E513" s="2">
        <v>131.99673000000001</v>
      </c>
      <c r="F513" s="28"/>
      <c r="G513" s="38"/>
      <c r="H513" s="2">
        <v>26.039340000000003</v>
      </c>
      <c r="I513" s="28"/>
      <c r="J513" s="38"/>
      <c r="L513" s="31"/>
      <c r="M513" s="33"/>
      <c r="N513" s="26"/>
      <c r="O513" s="5" t="s">
        <v>10</v>
      </c>
      <c r="P513" s="2">
        <v>138.86413000000002</v>
      </c>
      <c r="Q513" s="28"/>
      <c r="R513" s="38"/>
      <c r="S513" s="1">
        <v>26.498350000000002</v>
      </c>
      <c r="T513" s="31"/>
      <c r="U513" s="41"/>
    </row>
    <row r="514" spans="1:21" ht="16" x14ac:dyDescent="0.2">
      <c r="A514" s="31"/>
      <c r="B514" s="33"/>
      <c r="C514" s="26"/>
      <c r="D514" s="4" t="s">
        <v>11</v>
      </c>
      <c r="E514" s="2">
        <v>152.58226000000002</v>
      </c>
      <c r="F514" s="29"/>
      <c r="G514" s="38"/>
      <c r="H514" s="2">
        <v>27.967120000000001</v>
      </c>
      <c r="I514" s="29"/>
      <c r="J514" s="38"/>
      <c r="L514" s="31"/>
      <c r="M514" s="33"/>
      <c r="N514" s="26"/>
      <c r="O514" s="5" t="s">
        <v>11</v>
      </c>
      <c r="P514" s="2">
        <v>146.84008</v>
      </c>
      <c r="Q514" s="29"/>
      <c r="R514" s="38"/>
      <c r="S514" s="1">
        <v>22.814350000000001</v>
      </c>
      <c r="T514" s="32"/>
      <c r="U514" s="41"/>
    </row>
    <row r="515" spans="1:21" ht="16" x14ac:dyDescent="0.2">
      <c r="A515" s="31"/>
      <c r="B515" s="33"/>
      <c r="C515" s="26">
        <v>3</v>
      </c>
      <c r="D515" s="4" t="s">
        <v>7</v>
      </c>
      <c r="E515" s="2">
        <v>108.50712</v>
      </c>
      <c r="F515" s="27">
        <f t="shared" ref="F515" si="462">AVERAGE(E515:E519)</f>
        <v>102.41729600000001</v>
      </c>
      <c r="G515" s="38"/>
      <c r="H515" s="2">
        <v>19.852889999999999</v>
      </c>
      <c r="I515" s="27">
        <f t="shared" ref="I515" si="463">AVERAGE(H515:H519)</f>
        <v>23.979309999999998</v>
      </c>
      <c r="J515" s="38"/>
      <c r="L515" s="31"/>
      <c r="M515" s="33"/>
      <c r="N515" s="26">
        <v>3</v>
      </c>
      <c r="O515" s="5" t="s">
        <v>7</v>
      </c>
      <c r="P515" s="2">
        <v>131.69009</v>
      </c>
      <c r="Q515" s="27">
        <f t="shared" ref="Q515" si="464">AVERAGE(P515:P519)</f>
        <v>124.92348199999999</v>
      </c>
      <c r="R515" s="38"/>
      <c r="S515" s="1">
        <v>23.217390000000002</v>
      </c>
      <c r="T515" s="30">
        <f t="shared" ref="T515" si="465">AVERAGE(S515:S519)</f>
        <v>23.913290000000003</v>
      </c>
      <c r="U515" s="41"/>
    </row>
    <row r="516" spans="1:21" ht="16" x14ac:dyDescent="0.2">
      <c r="A516" s="31"/>
      <c r="B516" s="33"/>
      <c r="C516" s="26"/>
      <c r="D516" s="4" t="s">
        <v>8</v>
      </c>
      <c r="E516" s="2">
        <v>72.269419999999997</v>
      </c>
      <c r="F516" s="28"/>
      <c r="G516" s="38"/>
      <c r="H516" s="2">
        <v>26.125509999999998</v>
      </c>
      <c r="I516" s="28"/>
      <c r="J516" s="38"/>
      <c r="L516" s="31"/>
      <c r="M516" s="33"/>
      <c r="N516" s="26"/>
      <c r="O516" s="5" t="s">
        <v>8</v>
      </c>
      <c r="P516" s="2">
        <v>144.57664</v>
      </c>
      <c r="Q516" s="28"/>
      <c r="R516" s="38"/>
      <c r="S516" s="1">
        <v>24.26511</v>
      </c>
      <c r="T516" s="31"/>
      <c r="U516" s="41"/>
    </row>
    <row r="517" spans="1:21" ht="16" x14ac:dyDescent="0.2">
      <c r="A517" s="31"/>
      <c r="B517" s="33"/>
      <c r="C517" s="26"/>
      <c r="D517" s="4" t="s">
        <v>9</v>
      </c>
      <c r="E517" s="2">
        <v>113.89323</v>
      </c>
      <c r="F517" s="28"/>
      <c r="G517" s="38"/>
      <c r="H517" s="2">
        <v>25.787469999999999</v>
      </c>
      <c r="I517" s="28"/>
      <c r="J517" s="38"/>
      <c r="L517" s="31"/>
      <c r="M517" s="33"/>
      <c r="N517" s="26"/>
      <c r="O517" s="5" t="s">
        <v>9</v>
      </c>
      <c r="P517" s="2">
        <v>92.559460000000001</v>
      </c>
      <c r="Q517" s="28"/>
      <c r="R517" s="38"/>
      <c r="S517" s="1">
        <v>21.366190000000003</v>
      </c>
      <c r="T517" s="31"/>
      <c r="U517" s="41"/>
    </row>
    <row r="518" spans="1:21" ht="16" x14ac:dyDescent="0.2">
      <c r="A518" s="31"/>
      <c r="B518" s="33"/>
      <c r="C518" s="26"/>
      <c r="D518" s="4" t="s">
        <v>10</v>
      </c>
      <c r="E518" s="2">
        <v>96.779590000000013</v>
      </c>
      <c r="F518" s="28"/>
      <c r="G518" s="38"/>
      <c r="H518" s="2">
        <v>25.128890000000002</v>
      </c>
      <c r="I518" s="28"/>
      <c r="J518" s="38"/>
      <c r="L518" s="31"/>
      <c r="M518" s="33"/>
      <c r="N518" s="26"/>
      <c r="O518" s="5" t="s">
        <v>10</v>
      </c>
      <c r="P518" s="2">
        <v>155.98348999999999</v>
      </c>
      <c r="Q518" s="28"/>
      <c r="R518" s="38"/>
      <c r="S518" s="1">
        <v>26.039340000000003</v>
      </c>
      <c r="T518" s="31"/>
      <c r="U518" s="41"/>
    </row>
    <row r="519" spans="1:21" ht="16" x14ac:dyDescent="0.2">
      <c r="A519" s="31"/>
      <c r="B519" s="33"/>
      <c r="C519" s="26"/>
      <c r="D519" s="4" t="s">
        <v>11</v>
      </c>
      <c r="E519" s="2">
        <v>120.63712</v>
      </c>
      <c r="F519" s="29"/>
      <c r="G519" s="38"/>
      <c r="H519" s="2">
        <v>23.00179</v>
      </c>
      <c r="I519" s="29"/>
      <c r="J519" s="38"/>
      <c r="L519" s="31"/>
      <c r="M519" s="33"/>
      <c r="N519" s="26"/>
      <c r="O519" s="5" t="s">
        <v>11</v>
      </c>
      <c r="P519" s="2">
        <v>99.807729999999992</v>
      </c>
      <c r="Q519" s="29"/>
      <c r="R519" s="38"/>
      <c r="S519" s="1">
        <v>24.678420000000003</v>
      </c>
      <c r="T519" s="32"/>
      <c r="U519" s="41"/>
    </row>
    <row r="520" spans="1:21" ht="16" x14ac:dyDescent="0.2">
      <c r="A520" s="31"/>
      <c r="B520" s="33"/>
      <c r="C520" s="26">
        <v>4</v>
      </c>
      <c r="D520" s="4" t="s">
        <v>7</v>
      </c>
      <c r="E520" s="2">
        <v>97.251059999999995</v>
      </c>
      <c r="F520" s="27">
        <f t="shared" ref="F520" si="466">AVERAGE(E520:E524)</f>
        <v>104.74328</v>
      </c>
      <c r="G520" s="38"/>
      <c r="H520" s="2">
        <v>30.810580000000002</v>
      </c>
      <c r="I520" s="27">
        <f t="shared" ref="I520" si="467">AVERAGE(H520:H524)</f>
        <v>25.646727999999996</v>
      </c>
      <c r="J520" s="38"/>
      <c r="L520" s="31"/>
      <c r="M520" s="33"/>
      <c r="N520" s="26">
        <v>4</v>
      </c>
      <c r="O520" s="5" t="s">
        <v>7</v>
      </c>
      <c r="P520" s="2">
        <v>178.94691</v>
      </c>
      <c r="Q520" s="27">
        <f t="shared" ref="Q520" si="468">AVERAGE(P520:P524)</f>
        <v>151.56421800000001</v>
      </c>
      <c r="R520" s="38"/>
      <c r="S520" s="1">
        <v>26.778859999999998</v>
      </c>
      <c r="T520" s="30">
        <f t="shared" ref="T520" si="469">AVERAGE(S520:S524)</f>
        <v>22.035429999999998</v>
      </c>
      <c r="U520" s="41"/>
    </row>
    <row r="521" spans="1:21" ht="16" x14ac:dyDescent="0.2">
      <c r="A521" s="31"/>
      <c r="B521" s="33"/>
      <c r="C521" s="26"/>
      <c r="D521" s="4" t="s">
        <v>8</v>
      </c>
      <c r="E521" s="2">
        <v>128.12824000000001</v>
      </c>
      <c r="F521" s="28"/>
      <c r="G521" s="38"/>
      <c r="H521" s="2">
        <v>25.267209999999999</v>
      </c>
      <c r="I521" s="28"/>
      <c r="J521" s="38"/>
      <c r="L521" s="31"/>
      <c r="M521" s="33"/>
      <c r="N521" s="26"/>
      <c r="O521" s="5" t="s">
        <v>8</v>
      </c>
      <c r="P521" s="2">
        <v>177.73573999999999</v>
      </c>
      <c r="Q521" s="28"/>
      <c r="R521" s="38"/>
      <c r="S521" s="1">
        <v>19.677329999999998</v>
      </c>
      <c r="T521" s="31"/>
      <c r="U521" s="41"/>
    </row>
    <row r="522" spans="1:21" ht="16" x14ac:dyDescent="0.2">
      <c r="A522" s="31"/>
      <c r="B522" s="33"/>
      <c r="C522" s="26"/>
      <c r="D522" s="4" t="s">
        <v>9</v>
      </c>
      <c r="E522" s="2">
        <v>96.847090000000009</v>
      </c>
      <c r="F522" s="28"/>
      <c r="G522" s="38"/>
      <c r="H522" s="2">
        <v>29.486049999999999</v>
      </c>
      <c r="I522" s="28"/>
      <c r="J522" s="38"/>
      <c r="L522" s="31"/>
      <c r="M522" s="33"/>
      <c r="N522" s="26"/>
      <c r="O522" s="5" t="s">
        <v>9</v>
      </c>
      <c r="P522" s="2">
        <v>159.72852</v>
      </c>
      <c r="Q522" s="28"/>
      <c r="R522" s="38"/>
      <c r="S522" s="1">
        <v>24.779330000000002</v>
      </c>
      <c r="T522" s="31"/>
      <c r="U522" s="41"/>
    </row>
    <row r="523" spans="1:21" ht="16" x14ac:dyDescent="0.2">
      <c r="A523" s="31"/>
      <c r="B523" s="33"/>
      <c r="C523" s="26"/>
      <c r="D523" s="4" t="s">
        <v>10</v>
      </c>
      <c r="E523" s="2">
        <v>102.27462</v>
      </c>
      <c r="F523" s="28"/>
      <c r="G523" s="38"/>
      <c r="H523" s="2">
        <v>22.281950000000002</v>
      </c>
      <c r="I523" s="28"/>
      <c r="J523" s="38"/>
      <c r="L523" s="31"/>
      <c r="M523" s="33"/>
      <c r="N523" s="26"/>
      <c r="O523" s="5" t="s">
        <v>10</v>
      </c>
      <c r="P523" s="2">
        <v>140.97255999999999</v>
      </c>
      <c r="Q523" s="28"/>
      <c r="R523" s="38"/>
      <c r="S523" s="1">
        <v>21.465169999999997</v>
      </c>
      <c r="T523" s="31"/>
      <c r="U523" s="41"/>
    </row>
    <row r="524" spans="1:21" ht="16" x14ac:dyDescent="0.2">
      <c r="A524" s="31"/>
      <c r="B524" s="33"/>
      <c r="C524" s="26"/>
      <c r="D524" s="4" t="s">
        <v>11</v>
      </c>
      <c r="E524" s="2">
        <v>99.215390000000014</v>
      </c>
      <c r="F524" s="29"/>
      <c r="G524" s="38"/>
      <c r="H524" s="2">
        <v>20.38785</v>
      </c>
      <c r="I524" s="29"/>
      <c r="J524" s="38"/>
      <c r="L524" s="31"/>
      <c r="M524" s="33"/>
      <c r="N524" s="26"/>
      <c r="O524" s="5" t="s">
        <v>11</v>
      </c>
      <c r="P524" s="2">
        <v>100.43736000000001</v>
      </c>
      <c r="Q524" s="29"/>
      <c r="R524" s="38"/>
      <c r="S524" s="1">
        <v>17.476459999999999</v>
      </c>
      <c r="T524" s="32"/>
      <c r="U524" s="41"/>
    </row>
    <row r="525" spans="1:21" ht="16" x14ac:dyDescent="0.2">
      <c r="A525" s="31"/>
      <c r="B525" s="33"/>
      <c r="C525" s="26">
        <v>5</v>
      </c>
      <c r="D525" s="4" t="s">
        <v>7</v>
      </c>
      <c r="E525" s="2">
        <v>115.27737999999999</v>
      </c>
      <c r="F525" s="27">
        <f t="shared" ref="F525" si="470">AVERAGE(E525:E529)</f>
        <v>112.280542</v>
      </c>
      <c r="G525" s="38"/>
      <c r="H525" s="2">
        <v>15.45848</v>
      </c>
      <c r="I525" s="27">
        <f t="shared" ref="I525" si="471">AVERAGE(H525:H529)</f>
        <v>22.442398000000001</v>
      </c>
      <c r="J525" s="38"/>
      <c r="L525" s="31"/>
      <c r="M525" s="33"/>
      <c r="N525" s="26">
        <v>5</v>
      </c>
      <c r="O525" s="5" t="s">
        <v>7</v>
      </c>
      <c r="P525" s="2">
        <v>97.815539999999999</v>
      </c>
      <c r="Q525" s="27">
        <f t="shared" ref="Q525" si="472">AVERAGE(P525:P529)</f>
        <v>117.79760400000001</v>
      </c>
      <c r="R525" s="38"/>
      <c r="S525" s="1">
        <v>21.176210000000001</v>
      </c>
      <c r="T525" s="30">
        <f t="shared" ref="T525" si="473">AVERAGE(S525:S529)</f>
        <v>21.356180000000002</v>
      </c>
      <c r="U525" s="41"/>
    </row>
    <row r="526" spans="1:21" ht="16" x14ac:dyDescent="0.2">
      <c r="A526" s="31"/>
      <c r="B526" s="33"/>
      <c r="C526" s="26"/>
      <c r="D526" s="4" t="s">
        <v>8</v>
      </c>
      <c r="E526" s="2">
        <v>93.984570000000005</v>
      </c>
      <c r="F526" s="28"/>
      <c r="G526" s="38"/>
      <c r="H526" s="2">
        <v>16.418949999999999</v>
      </c>
      <c r="I526" s="28"/>
      <c r="J526" s="38"/>
      <c r="L526" s="31"/>
      <c r="M526" s="33"/>
      <c r="N526" s="26"/>
      <c r="O526" s="5" t="s">
        <v>8</v>
      </c>
      <c r="P526" s="2">
        <v>98.022450000000006</v>
      </c>
      <c r="Q526" s="28"/>
      <c r="R526" s="38"/>
      <c r="S526" s="1">
        <v>20.531640000000003</v>
      </c>
      <c r="T526" s="31"/>
      <c r="U526" s="41"/>
    </row>
    <row r="527" spans="1:21" ht="16" x14ac:dyDescent="0.2">
      <c r="A527" s="31"/>
      <c r="B527" s="33"/>
      <c r="C527" s="26"/>
      <c r="D527" s="4" t="s">
        <v>9</v>
      </c>
      <c r="E527" s="2">
        <v>111.92895</v>
      </c>
      <c r="F527" s="28"/>
      <c r="G527" s="38"/>
      <c r="H527" s="2">
        <v>32.684040000000003</v>
      </c>
      <c r="I527" s="28"/>
      <c r="J527" s="38"/>
      <c r="L527" s="31"/>
      <c r="M527" s="33"/>
      <c r="N527" s="26"/>
      <c r="O527" s="5" t="s">
        <v>9</v>
      </c>
      <c r="P527" s="2">
        <v>113.05941000000001</v>
      </c>
      <c r="Q527" s="28"/>
      <c r="R527" s="38"/>
      <c r="S527" s="1">
        <v>23.26511</v>
      </c>
      <c r="T527" s="31"/>
      <c r="U527" s="41"/>
    </row>
    <row r="528" spans="1:21" ht="16" x14ac:dyDescent="0.2">
      <c r="A528" s="31"/>
      <c r="B528" s="33"/>
      <c r="C528" s="26"/>
      <c r="D528" s="4" t="s">
        <v>10</v>
      </c>
      <c r="E528" s="2">
        <v>129.47630999999998</v>
      </c>
      <c r="F528" s="28"/>
      <c r="G528" s="38"/>
      <c r="H528" s="2">
        <v>34.485100000000003</v>
      </c>
      <c r="I528" s="28"/>
      <c r="J528" s="38"/>
      <c r="L528" s="31"/>
      <c r="M528" s="33"/>
      <c r="N528" s="26"/>
      <c r="O528" s="5" t="s">
        <v>10</v>
      </c>
      <c r="P528" s="2">
        <v>122.29745000000001</v>
      </c>
      <c r="Q528" s="28"/>
      <c r="R528" s="38"/>
      <c r="S528" s="1">
        <v>20.54073</v>
      </c>
      <c r="T528" s="31"/>
      <c r="U528" s="41"/>
    </row>
    <row r="529" spans="1:21" ht="16" x14ac:dyDescent="0.2">
      <c r="A529" s="32"/>
      <c r="B529" s="33"/>
      <c r="C529" s="26"/>
      <c r="D529" s="4" t="s">
        <v>11</v>
      </c>
      <c r="E529" s="2">
        <v>110.73549999999999</v>
      </c>
      <c r="F529" s="29"/>
      <c r="G529" s="39"/>
      <c r="H529" s="2">
        <v>13.165419999999999</v>
      </c>
      <c r="I529" s="29"/>
      <c r="J529" s="39"/>
      <c r="L529" s="32"/>
      <c r="M529" s="33"/>
      <c r="N529" s="26"/>
      <c r="O529" s="5" t="s">
        <v>11</v>
      </c>
      <c r="P529" s="2">
        <v>157.79317</v>
      </c>
      <c r="Q529" s="29"/>
      <c r="R529" s="39"/>
      <c r="S529" s="1">
        <v>21.267209999999999</v>
      </c>
      <c r="T529" s="32"/>
      <c r="U529" s="42"/>
    </row>
    <row r="530" spans="1:21" ht="16" x14ac:dyDescent="0.2">
      <c r="A530" s="30" t="s">
        <v>12</v>
      </c>
      <c r="B530" s="33">
        <v>1</v>
      </c>
      <c r="C530" s="26">
        <v>1</v>
      </c>
      <c r="D530" s="4" t="s">
        <v>7</v>
      </c>
      <c r="E530" s="2">
        <v>106.35254999999999</v>
      </c>
      <c r="F530" s="27">
        <f t="shared" ref="F530" si="474">AVERAGE(E530:E534)</f>
        <v>95.374817999999991</v>
      </c>
      <c r="G530" s="37">
        <f>AVERAGE(F530:F554)</f>
        <v>107.92076279999999</v>
      </c>
      <c r="H530" s="2">
        <v>24.594290000000001</v>
      </c>
      <c r="I530" s="27">
        <f t="shared" ref="I530" si="475">AVERAGE(H530:H534)</f>
        <v>23.798033999999998</v>
      </c>
      <c r="J530" s="37">
        <f t="shared" ref="J530" si="476">AVERAGE(I530:I554)</f>
        <v>23.740935599999997</v>
      </c>
      <c r="L530" s="30" t="s">
        <v>24</v>
      </c>
      <c r="M530" s="33">
        <v>1</v>
      </c>
      <c r="N530" s="26">
        <v>1</v>
      </c>
      <c r="O530" s="6" t="s">
        <v>7</v>
      </c>
      <c r="P530" s="2">
        <v>145.67616000000001</v>
      </c>
      <c r="Q530" s="27">
        <f t="shared" ref="Q530" si="477">AVERAGE(P530:P534)</f>
        <v>140.689874</v>
      </c>
      <c r="R530" s="37">
        <f t="shared" ref="R530" si="478">AVERAGE(Q530:Q554)</f>
        <v>131.7770884</v>
      </c>
      <c r="S530" s="1">
        <v>21.267209999999999</v>
      </c>
      <c r="T530" s="30">
        <f t="shared" ref="T530" si="479">AVERAGE(S530:S534)</f>
        <v>22.956896</v>
      </c>
      <c r="U530" s="40">
        <f t="shared" ref="U530" si="480">AVERAGE(T530:T554)</f>
        <v>24.374497600000002</v>
      </c>
    </row>
    <row r="531" spans="1:21" ht="16" x14ac:dyDescent="0.2">
      <c r="A531" s="31"/>
      <c r="B531" s="33"/>
      <c r="C531" s="26"/>
      <c r="D531" s="4" t="s">
        <v>8</v>
      </c>
      <c r="E531" s="2">
        <v>101.13939000000001</v>
      </c>
      <c r="F531" s="28"/>
      <c r="G531" s="38"/>
      <c r="H531" s="2">
        <v>21.87866</v>
      </c>
      <c r="I531" s="28"/>
      <c r="J531" s="38"/>
      <c r="L531" s="31"/>
      <c r="M531" s="33"/>
      <c r="N531" s="26"/>
      <c r="O531" s="6" t="s">
        <v>8</v>
      </c>
      <c r="P531" s="2">
        <v>144.96831</v>
      </c>
      <c r="Q531" s="28"/>
      <c r="R531" s="38"/>
      <c r="S531" s="1">
        <v>27.59357</v>
      </c>
      <c r="T531" s="31"/>
      <c r="U531" s="41"/>
    </row>
    <row r="532" spans="1:21" ht="16" x14ac:dyDescent="0.2">
      <c r="A532" s="31"/>
      <c r="B532" s="33"/>
      <c r="C532" s="26"/>
      <c r="D532" s="4" t="s">
        <v>9</v>
      </c>
      <c r="E532" s="2">
        <v>81.327060000000003</v>
      </c>
      <c r="F532" s="28"/>
      <c r="G532" s="38"/>
      <c r="H532" s="2">
        <v>22.242559999999997</v>
      </c>
      <c r="I532" s="28"/>
      <c r="J532" s="38"/>
      <c r="L532" s="31"/>
      <c r="M532" s="33"/>
      <c r="N532" s="26"/>
      <c r="O532" s="6" t="s">
        <v>9</v>
      </c>
      <c r="P532" s="2">
        <v>148.29517999999999</v>
      </c>
      <c r="Q532" s="28"/>
      <c r="R532" s="38"/>
      <c r="S532" s="1">
        <v>20.38335</v>
      </c>
      <c r="T532" s="31"/>
      <c r="U532" s="41"/>
    </row>
    <row r="533" spans="1:21" ht="16" x14ac:dyDescent="0.2">
      <c r="A533" s="31"/>
      <c r="B533" s="33"/>
      <c r="C533" s="26"/>
      <c r="D533" s="4" t="s">
        <v>10</v>
      </c>
      <c r="E533" s="2">
        <v>109.21567999999999</v>
      </c>
      <c r="F533" s="28"/>
      <c r="G533" s="38"/>
      <c r="H533" s="2">
        <v>26.543020000000002</v>
      </c>
      <c r="I533" s="28"/>
      <c r="J533" s="38"/>
      <c r="L533" s="31"/>
      <c r="M533" s="33"/>
      <c r="N533" s="26"/>
      <c r="O533" s="6" t="s">
        <v>10</v>
      </c>
      <c r="P533" s="2">
        <v>147.92079999999999</v>
      </c>
      <c r="Q533" s="28"/>
      <c r="R533" s="38"/>
      <c r="S533" s="1">
        <v>24.52449</v>
      </c>
      <c r="T533" s="31"/>
      <c r="U533" s="41"/>
    </row>
    <row r="534" spans="1:21" ht="16" x14ac:dyDescent="0.2">
      <c r="A534" s="31"/>
      <c r="B534" s="33"/>
      <c r="C534" s="26"/>
      <c r="D534" s="4" t="s">
        <v>11</v>
      </c>
      <c r="E534" s="2">
        <v>78.839410000000001</v>
      </c>
      <c r="F534" s="29"/>
      <c r="G534" s="38"/>
      <c r="H534" s="2">
        <v>23.731640000000002</v>
      </c>
      <c r="I534" s="29"/>
      <c r="J534" s="38"/>
      <c r="L534" s="31"/>
      <c r="M534" s="33"/>
      <c r="N534" s="26"/>
      <c r="O534" s="6" t="s">
        <v>11</v>
      </c>
      <c r="P534" s="2">
        <v>116.58892</v>
      </c>
      <c r="Q534" s="29"/>
      <c r="R534" s="38"/>
      <c r="S534" s="1">
        <v>21.015859999999996</v>
      </c>
      <c r="T534" s="32"/>
      <c r="U534" s="41"/>
    </row>
    <row r="535" spans="1:21" ht="16" x14ac:dyDescent="0.2">
      <c r="A535" s="31"/>
      <c r="B535" s="33"/>
      <c r="C535" s="26">
        <v>2</v>
      </c>
      <c r="D535" s="4" t="s">
        <v>7</v>
      </c>
      <c r="E535" s="2">
        <v>100.22150999999999</v>
      </c>
      <c r="F535" s="27">
        <f t="shared" ref="F535" si="481">AVERAGE(E535:E539)</f>
        <v>130.78787800000001</v>
      </c>
      <c r="G535" s="38"/>
      <c r="H535" s="2">
        <v>28.684650000000001</v>
      </c>
      <c r="I535" s="27">
        <f t="shared" ref="I535" si="482">AVERAGE(H535:H539)</f>
        <v>23.638208000000002</v>
      </c>
      <c r="J535" s="38"/>
      <c r="L535" s="31"/>
      <c r="M535" s="33"/>
      <c r="N535" s="26">
        <v>2</v>
      </c>
      <c r="O535" s="6" t="s">
        <v>7</v>
      </c>
      <c r="P535" s="2">
        <v>148.63093000000001</v>
      </c>
      <c r="Q535" s="27">
        <f t="shared" ref="Q535" si="483">AVERAGE(P535:P539)</f>
        <v>127.76389199999998</v>
      </c>
      <c r="R535" s="38"/>
      <c r="S535" s="1">
        <v>28.384450000000001</v>
      </c>
      <c r="T535" s="30">
        <f t="shared" ref="T535" si="484">AVERAGE(S535:S539)</f>
        <v>24.817898</v>
      </c>
      <c r="U535" s="41"/>
    </row>
    <row r="536" spans="1:21" ht="16" x14ac:dyDescent="0.2">
      <c r="A536" s="31"/>
      <c r="B536" s="33"/>
      <c r="C536" s="26"/>
      <c r="D536" s="4" t="s">
        <v>8</v>
      </c>
      <c r="E536" s="2">
        <v>167.09873999999999</v>
      </c>
      <c r="F536" s="28"/>
      <c r="G536" s="38"/>
      <c r="H536" s="2">
        <v>22.537700000000001</v>
      </c>
      <c r="I536" s="28"/>
      <c r="J536" s="38"/>
      <c r="L536" s="31"/>
      <c r="M536" s="33"/>
      <c r="N536" s="26"/>
      <c r="O536" s="6" t="s">
        <v>8</v>
      </c>
      <c r="P536" s="2">
        <v>111.20048000000001</v>
      </c>
      <c r="Q536" s="28"/>
      <c r="R536" s="38"/>
      <c r="S536" s="1">
        <v>27.8873</v>
      </c>
      <c r="T536" s="31"/>
      <c r="U536" s="41"/>
    </row>
    <row r="537" spans="1:21" ht="16" x14ac:dyDescent="0.2">
      <c r="A537" s="31"/>
      <c r="B537" s="33"/>
      <c r="C537" s="26"/>
      <c r="D537" s="4" t="s">
        <v>9</v>
      </c>
      <c r="E537" s="2">
        <v>152.04014999999998</v>
      </c>
      <c r="F537" s="28"/>
      <c r="G537" s="38"/>
      <c r="H537" s="2">
        <v>22.962229999999998</v>
      </c>
      <c r="I537" s="28"/>
      <c r="J537" s="38"/>
      <c r="L537" s="31"/>
      <c r="M537" s="33"/>
      <c r="N537" s="26"/>
      <c r="O537" s="6" t="s">
        <v>9</v>
      </c>
      <c r="P537" s="2">
        <v>128.16352999999998</v>
      </c>
      <c r="Q537" s="28"/>
      <c r="R537" s="38"/>
      <c r="S537" s="1">
        <v>21.009910000000001</v>
      </c>
      <c r="T537" s="31"/>
      <c r="U537" s="41"/>
    </row>
    <row r="538" spans="1:21" ht="16" x14ac:dyDescent="0.2">
      <c r="A538" s="31"/>
      <c r="B538" s="33"/>
      <c r="C538" s="26"/>
      <c r="D538" s="4" t="s">
        <v>10</v>
      </c>
      <c r="E538" s="2">
        <v>141.99673000000001</v>
      </c>
      <c r="F538" s="28"/>
      <c r="G538" s="38"/>
      <c r="H538" s="2">
        <v>26.039340000000003</v>
      </c>
      <c r="I538" s="28"/>
      <c r="J538" s="38"/>
      <c r="L538" s="31"/>
      <c r="M538" s="33"/>
      <c r="N538" s="26"/>
      <c r="O538" s="6" t="s">
        <v>10</v>
      </c>
      <c r="P538" s="2">
        <v>120.81621</v>
      </c>
      <c r="Q538" s="28"/>
      <c r="R538" s="38"/>
      <c r="S538" s="1">
        <v>22.907710000000002</v>
      </c>
      <c r="T538" s="31"/>
      <c r="U538" s="41"/>
    </row>
    <row r="539" spans="1:21" ht="16" x14ac:dyDescent="0.2">
      <c r="A539" s="31"/>
      <c r="B539" s="33"/>
      <c r="C539" s="26"/>
      <c r="D539" s="4" t="s">
        <v>11</v>
      </c>
      <c r="E539" s="2">
        <v>92.582260000000005</v>
      </c>
      <c r="F539" s="29"/>
      <c r="G539" s="38"/>
      <c r="H539" s="2">
        <v>17.967120000000001</v>
      </c>
      <c r="I539" s="29"/>
      <c r="J539" s="38"/>
      <c r="L539" s="31"/>
      <c r="M539" s="33"/>
      <c r="N539" s="26"/>
      <c r="O539" s="6" t="s">
        <v>11</v>
      </c>
      <c r="P539" s="2">
        <v>130.00830999999999</v>
      </c>
      <c r="Q539" s="29"/>
      <c r="R539" s="38"/>
      <c r="S539" s="1">
        <v>23.900120000000001</v>
      </c>
      <c r="T539" s="32"/>
      <c r="U539" s="41"/>
    </row>
    <row r="540" spans="1:21" ht="16" x14ac:dyDescent="0.2">
      <c r="A540" s="31"/>
      <c r="B540" s="33"/>
      <c r="C540" s="26">
        <v>3</v>
      </c>
      <c r="D540" s="4" t="s">
        <v>7</v>
      </c>
      <c r="E540" s="2">
        <v>108.50712</v>
      </c>
      <c r="F540" s="27">
        <f t="shared" ref="F540" si="485">AVERAGE(E540:E544)</f>
        <v>102.41729600000001</v>
      </c>
      <c r="G540" s="38"/>
      <c r="H540" s="2">
        <v>29.852890000000002</v>
      </c>
      <c r="I540" s="27">
        <f t="shared" ref="I540" si="486">AVERAGE(H540:H544)</f>
        <v>25.979309999999998</v>
      </c>
      <c r="J540" s="38"/>
      <c r="L540" s="31"/>
      <c r="M540" s="33"/>
      <c r="N540" s="26">
        <v>3</v>
      </c>
      <c r="O540" s="6" t="s">
        <v>7</v>
      </c>
      <c r="P540" s="2">
        <v>137.63093000000001</v>
      </c>
      <c r="Q540" s="27">
        <f t="shared" ref="Q540" si="487">AVERAGE(P540:P544)</f>
        <v>135.44389199999998</v>
      </c>
      <c r="R540" s="38"/>
      <c r="S540" s="1">
        <v>28.384450000000001</v>
      </c>
      <c r="T540" s="30">
        <f t="shared" ref="T540" si="488">AVERAGE(S540:S544)</f>
        <v>23.061897999999999</v>
      </c>
      <c r="U540" s="41"/>
    </row>
    <row r="541" spans="1:21" ht="16" x14ac:dyDescent="0.2">
      <c r="A541" s="31"/>
      <c r="B541" s="33"/>
      <c r="C541" s="26"/>
      <c r="D541" s="4" t="s">
        <v>8</v>
      </c>
      <c r="E541" s="2">
        <v>72.269419999999997</v>
      </c>
      <c r="F541" s="28"/>
      <c r="G541" s="38"/>
      <c r="H541" s="2">
        <v>26.125509999999998</v>
      </c>
      <c r="I541" s="28"/>
      <c r="J541" s="38"/>
      <c r="L541" s="31"/>
      <c r="M541" s="33"/>
      <c r="N541" s="26"/>
      <c r="O541" s="6" t="s">
        <v>8</v>
      </c>
      <c r="P541" s="2">
        <v>142.50048000000001</v>
      </c>
      <c r="Q541" s="28"/>
      <c r="R541" s="38"/>
      <c r="S541" s="1">
        <v>18.107299999999999</v>
      </c>
      <c r="T541" s="31"/>
      <c r="U541" s="41"/>
    </row>
    <row r="542" spans="1:21" ht="16" x14ac:dyDescent="0.2">
      <c r="A542" s="31"/>
      <c r="B542" s="33"/>
      <c r="C542" s="26"/>
      <c r="D542" s="4" t="s">
        <v>9</v>
      </c>
      <c r="E542" s="2">
        <v>113.89323</v>
      </c>
      <c r="F542" s="28"/>
      <c r="G542" s="38"/>
      <c r="H542" s="2">
        <v>25.787469999999999</v>
      </c>
      <c r="I542" s="28"/>
      <c r="J542" s="38"/>
      <c r="L542" s="31"/>
      <c r="M542" s="33"/>
      <c r="N542" s="26"/>
      <c r="O542" s="6" t="s">
        <v>9</v>
      </c>
      <c r="P542" s="2">
        <v>135.16352999999998</v>
      </c>
      <c r="Q542" s="28"/>
      <c r="R542" s="38"/>
      <c r="S542" s="1">
        <v>23.009910000000001</v>
      </c>
      <c r="T542" s="31"/>
      <c r="U542" s="41"/>
    </row>
    <row r="543" spans="1:21" ht="16" x14ac:dyDescent="0.2">
      <c r="A543" s="31"/>
      <c r="B543" s="33"/>
      <c r="C543" s="26"/>
      <c r="D543" s="4" t="s">
        <v>10</v>
      </c>
      <c r="E543" s="2">
        <v>96.779590000000013</v>
      </c>
      <c r="F543" s="28"/>
      <c r="G543" s="38"/>
      <c r="H543" s="2">
        <v>25.128890000000002</v>
      </c>
      <c r="I543" s="28"/>
      <c r="J543" s="38"/>
      <c r="L543" s="31"/>
      <c r="M543" s="33"/>
      <c r="N543" s="26"/>
      <c r="O543" s="6" t="s">
        <v>10</v>
      </c>
      <c r="P543" s="2">
        <v>120.81621</v>
      </c>
      <c r="Q543" s="28"/>
      <c r="R543" s="38"/>
      <c r="S543" s="1">
        <v>21.907710000000002</v>
      </c>
      <c r="T543" s="31"/>
      <c r="U543" s="41"/>
    </row>
    <row r="544" spans="1:21" ht="16" x14ac:dyDescent="0.2">
      <c r="A544" s="31"/>
      <c r="B544" s="33"/>
      <c r="C544" s="26"/>
      <c r="D544" s="4" t="s">
        <v>11</v>
      </c>
      <c r="E544" s="2">
        <v>120.63712</v>
      </c>
      <c r="F544" s="29"/>
      <c r="G544" s="38"/>
      <c r="H544" s="2">
        <v>23.00179</v>
      </c>
      <c r="I544" s="29"/>
      <c r="J544" s="38"/>
      <c r="L544" s="31"/>
      <c r="M544" s="33"/>
      <c r="N544" s="26"/>
      <c r="O544" s="6" t="s">
        <v>11</v>
      </c>
      <c r="P544" s="2">
        <v>141.10830999999999</v>
      </c>
      <c r="Q544" s="29"/>
      <c r="R544" s="38"/>
      <c r="S544" s="1">
        <v>23.900120000000001</v>
      </c>
      <c r="T544" s="32"/>
      <c r="U544" s="41"/>
    </row>
    <row r="545" spans="1:21" ht="16" x14ac:dyDescent="0.2">
      <c r="A545" s="31"/>
      <c r="B545" s="33"/>
      <c r="C545" s="26">
        <v>4</v>
      </c>
      <c r="D545" s="4" t="s">
        <v>7</v>
      </c>
      <c r="E545" s="2">
        <v>97.251059999999995</v>
      </c>
      <c r="F545" s="27">
        <f t="shared" ref="F545" si="489">AVERAGE(E545:E549)</f>
        <v>104.74328</v>
      </c>
      <c r="G545" s="38"/>
      <c r="H545" s="2">
        <v>20.810580000000002</v>
      </c>
      <c r="I545" s="27">
        <f t="shared" ref="I545" si="490">AVERAGE(H545:H549)</f>
        <v>20.846727999999999</v>
      </c>
      <c r="J545" s="38"/>
      <c r="L545" s="31"/>
      <c r="M545" s="33"/>
      <c r="N545" s="26">
        <v>4</v>
      </c>
      <c r="O545" s="6" t="s">
        <v>7</v>
      </c>
      <c r="P545" s="2">
        <v>102.13093000000001</v>
      </c>
      <c r="Q545" s="27">
        <f t="shared" ref="Q545" si="491">AVERAGE(P545:P549)</f>
        <v>118.94389200000001</v>
      </c>
      <c r="R545" s="38"/>
      <c r="S545" s="1">
        <v>28.384450000000001</v>
      </c>
      <c r="T545" s="30">
        <f t="shared" ref="T545" si="492">AVERAGE(S545:S549)</f>
        <v>26.217898000000002</v>
      </c>
      <c r="U545" s="41"/>
    </row>
    <row r="546" spans="1:21" ht="16" x14ac:dyDescent="0.2">
      <c r="A546" s="31"/>
      <c r="B546" s="33"/>
      <c r="C546" s="26"/>
      <c r="D546" s="4" t="s">
        <v>8</v>
      </c>
      <c r="E546" s="2">
        <v>98.128240000000005</v>
      </c>
      <c r="F546" s="28"/>
      <c r="G546" s="38"/>
      <c r="H546" s="2">
        <v>21.267209999999999</v>
      </c>
      <c r="I546" s="28"/>
      <c r="J546" s="38"/>
      <c r="L546" s="31"/>
      <c r="M546" s="33"/>
      <c r="N546" s="26"/>
      <c r="O546" s="6" t="s">
        <v>8</v>
      </c>
      <c r="P546" s="2">
        <v>122.50048000000001</v>
      </c>
      <c r="Q546" s="28"/>
      <c r="R546" s="38"/>
      <c r="S546" s="1">
        <v>25.8873</v>
      </c>
      <c r="T546" s="31"/>
      <c r="U546" s="41"/>
    </row>
    <row r="547" spans="1:21" ht="16" x14ac:dyDescent="0.2">
      <c r="A547" s="31"/>
      <c r="B547" s="33"/>
      <c r="C547" s="26"/>
      <c r="D547" s="4" t="s">
        <v>9</v>
      </c>
      <c r="E547" s="2">
        <v>136.84709000000001</v>
      </c>
      <c r="F547" s="28"/>
      <c r="G547" s="38"/>
      <c r="H547" s="2">
        <v>19.486049999999999</v>
      </c>
      <c r="I547" s="28"/>
      <c r="J547" s="38"/>
      <c r="L547" s="31"/>
      <c r="M547" s="33"/>
      <c r="N547" s="26"/>
      <c r="O547" s="6" t="s">
        <v>9</v>
      </c>
      <c r="P547" s="2">
        <v>138.16352999999998</v>
      </c>
      <c r="Q547" s="28"/>
      <c r="R547" s="38"/>
      <c r="S547" s="1">
        <v>23.009910000000001</v>
      </c>
      <c r="T547" s="31"/>
      <c r="U547" s="41"/>
    </row>
    <row r="548" spans="1:21" ht="16" x14ac:dyDescent="0.2">
      <c r="A548" s="31"/>
      <c r="B548" s="33"/>
      <c r="C548" s="26"/>
      <c r="D548" s="4" t="s">
        <v>10</v>
      </c>
      <c r="E548" s="2">
        <v>92.274619999999999</v>
      </c>
      <c r="F548" s="28"/>
      <c r="G548" s="38"/>
      <c r="H548" s="2">
        <v>22.281950000000002</v>
      </c>
      <c r="I548" s="28"/>
      <c r="J548" s="38"/>
      <c r="L548" s="31"/>
      <c r="M548" s="33"/>
      <c r="N548" s="26"/>
      <c r="O548" s="6" t="s">
        <v>10</v>
      </c>
      <c r="P548" s="2">
        <v>120.81621</v>
      </c>
      <c r="Q548" s="28"/>
      <c r="R548" s="38"/>
      <c r="S548" s="1">
        <v>29.907710000000002</v>
      </c>
      <c r="T548" s="31"/>
      <c r="U548" s="41"/>
    </row>
    <row r="549" spans="1:21" ht="16" x14ac:dyDescent="0.2">
      <c r="A549" s="31"/>
      <c r="B549" s="33"/>
      <c r="C549" s="26"/>
      <c r="D549" s="4" t="s">
        <v>11</v>
      </c>
      <c r="E549" s="2">
        <v>99.215390000000014</v>
      </c>
      <c r="F549" s="29"/>
      <c r="G549" s="38"/>
      <c r="H549" s="2">
        <v>20.38785</v>
      </c>
      <c r="I549" s="29"/>
      <c r="J549" s="38"/>
      <c r="L549" s="31"/>
      <c r="M549" s="33"/>
      <c r="N549" s="26"/>
      <c r="O549" s="6" t="s">
        <v>11</v>
      </c>
      <c r="P549" s="2">
        <v>111.10831</v>
      </c>
      <c r="Q549" s="29"/>
      <c r="R549" s="38"/>
      <c r="S549" s="1">
        <v>23.900120000000001</v>
      </c>
      <c r="T549" s="32"/>
      <c r="U549" s="41"/>
    </row>
    <row r="550" spans="1:21" ht="16" x14ac:dyDescent="0.2">
      <c r="A550" s="31"/>
      <c r="B550" s="33"/>
      <c r="C550" s="26">
        <v>5</v>
      </c>
      <c r="D550" s="4" t="s">
        <v>7</v>
      </c>
      <c r="E550" s="2">
        <v>115.27737999999999</v>
      </c>
      <c r="F550" s="27">
        <f t="shared" ref="F550" si="493">AVERAGE(E550:E554)</f>
        <v>106.280542</v>
      </c>
      <c r="G550" s="38"/>
      <c r="H550" s="2">
        <v>15.45848</v>
      </c>
      <c r="I550" s="27">
        <f t="shared" ref="I550" si="494">AVERAGE(H550:H554)</f>
        <v>24.442398000000001</v>
      </c>
      <c r="J550" s="38"/>
      <c r="L550" s="31"/>
      <c r="M550" s="33"/>
      <c r="N550" s="26">
        <v>5</v>
      </c>
      <c r="O550" s="6" t="s">
        <v>7</v>
      </c>
      <c r="P550" s="2">
        <v>148.63093000000001</v>
      </c>
      <c r="Q550" s="27">
        <f t="shared" ref="Q550" si="495">AVERAGE(P550:P554)</f>
        <v>136.04389199999997</v>
      </c>
      <c r="R550" s="38"/>
      <c r="S550" s="1">
        <v>19.384450000000001</v>
      </c>
      <c r="T550" s="30">
        <f t="shared" ref="T550" si="496">AVERAGE(S550:S554)</f>
        <v>24.817898</v>
      </c>
      <c r="U550" s="41"/>
    </row>
    <row r="551" spans="1:21" ht="16" x14ac:dyDescent="0.2">
      <c r="A551" s="31"/>
      <c r="B551" s="33"/>
      <c r="C551" s="26"/>
      <c r="D551" s="4" t="s">
        <v>8</v>
      </c>
      <c r="E551" s="2">
        <v>93.984570000000005</v>
      </c>
      <c r="F551" s="28"/>
      <c r="G551" s="38"/>
      <c r="H551" s="2">
        <v>26.418949999999999</v>
      </c>
      <c r="I551" s="28"/>
      <c r="J551" s="38"/>
      <c r="L551" s="31"/>
      <c r="M551" s="33"/>
      <c r="N551" s="26"/>
      <c r="O551" s="6" t="s">
        <v>8</v>
      </c>
      <c r="P551" s="2">
        <v>131.50048000000001</v>
      </c>
      <c r="Q551" s="28"/>
      <c r="R551" s="38"/>
      <c r="S551" s="1">
        <v>25.8873</v>
      </c>
      <c r="T551" s="31"/>
      <c r="U551" s="41"/>
    </row>
    <row r="552" spans="1:21" ht="16" x14ac:dyDescent="0.2">
      <c r="A552" s="31"/>
      <c r="B552" s="33"/>
      <c r="C552" s="26"/>
      <c r="D552" s="4" t="s">
        <v>9</v>
      </c>
      <c r="E552" s="2">
        <v>111.92895</v>
      </c>
      <c r="F552" s="28"/>
      <c r="G552" s="38"/>
      <c r="H552" s="2">
        <v>32.684040000000003</v>
      </c>
      <c r="I552" s="28"/>
      <c r="J552" s="38"/>
      <c r="L552" s="31"/>
      <c r="M552" s="33"/>
      <c r="N552" s="26"/>
      <c r="O552" s="6" t="s">
        <v>9</v>
      </c>
      <c r="P552" s="2">
        <v>138.16352999999998</v>
      </c>
      <c r="Q552" s="28"/>
      <c r="R552" s="38"/>
      <c r="S552" s="1">
        <v>23.009910000000001</v>
      </c>
      <c r="T552" s="31"/>
      <c r="U552" s="41"/>
    </row>
    <row r="553" spans="1:21" ht="16" x14ac:dyDescent="0.2">
      <c r="A553" s="31"/>
      <c r="B553" s="33"/>
      <c r="C553" s="26"/>
      <c r="D553" s="4" t="s">
        <v>10</v>
      </c>
      <c r="E553" s="2">
        <v>99.476309999999998</v>
      </c>
      <c r="F553" s="28"/>
      <c r="G553" s="38"/>
      <c r="H553" s="2">
        <v>34.485100000000003</v>
      </c>
      <c r="I553" s="28"/>
      <c r="J553" s="38"/>
      <c r="L553" s="31"/>
      <c r="M553" s="33"/>
      <c r="N553" s="26"/>
      <c r="O553" s="6" t="s">
        <v>10</v>
      </c>
      <c r="P553" s="2">
        <v>120.81621</v>
      </c>
      <c r="Q553" s="28"/>
      <c r="R553" s="38"/>
      <c r="S553" s="1">
        <v>21.907710000000002</v>
      </c>
      <c r="T553" s="31"/>
      <c r="U553" s="41"/>
    </row>
    <row r="554" spans="1:21" ht="16" x14ac:dyDescent="0.2">
      <c r="A554" s="31"/>
      <c r="B554" s="33"/>
      <c r="C554" s="26"/>
      <c r="D554" s="4" t="s">
        <v>11</v>
      </c>
      <c r="E554" s="2">
        <v>110.73549999999999</v>
      </c>
      <c r="F554" s="29"/>
      <c r="G554" s="39"/>
      <c r="H554" s="2">
        <v>13.165419999999999</v>
      </c>
      <c r="I554" s="29"/>
      <c r="J554" s="39"/>
      <c r="L554" s="31"/>
      <c r="M554" s="33"/>
      <c r="N554" s="26"/>
      <c r="O554" s="6" t="s">
        <v>11</v>
      </c>
      <c r="P554" s="2">
        <v>141.10830999999999</v>
      </c>
      <c r="Q554" s="29"/>
      <c r="R554" s="39"/>
      <c r="S554" s="1">
        <v>33.900120000000001</v>
      </c>
      <c r="T554" s="32"/>
      <c r="U554" s="42"/>
    </row>
    <row r="555" spans="1:21" ht="16" x14ac:dyDescent="0.2">
      <c r="A555" s="31"/>
      <c r="B555" s="26">
        <v>2</v>
      </c>
      <c r="C555" s="26">
        <v>1</v>
      </c>
      <c r="D555" s="4" t="s">
        <v>7</v>
      </c>
      <c r="E555" s="2">
        <v>138.47261</v>
      </c>
      <c r="F555" s="27">
        <f t="shared" ref="F555" si="497">AVERAGE(E555:E559)</f>
        <v>135.68538800000002</v>
      </c>
      <c r="G555" s="37">
        <f>AVERAGE(F555:F579)</f>
        <v>128.12898920000001</v>
      </c>
      <c r="H555" s="2">
        <v>28.573670000000003</v>
      </c>
      <c r="I555" s="27">
        <f t="shared" ref="I555" si="498">AVERAGE(H555:H559)</f>
        <v>28.283188000000003</v>
      </c>
      <c r="J555" s="37">
        <f t="shared" ref="J555" si="499">AVERAGE(I555:I579)</f>
        <v>25.004686800000002</v>
      </c>
      <c r="L555" s="31"/>
      <c r="M555" s="33">
        <v>2</v>
      </c>
      <c r="N555" s="26">
        <v>1</v>
      </c>
      <c r="O555" s="6" t="s">
        <v>7</v>
      </c>
      <c r="P555" s="2">
        <v>100.3432</v>
      </c>
      <c r="Q555" s="27">
        <f t="shared" ref="Q555" si="500">AVERAGE(P555:P559)</f>
        <v>91.682137999999995</v>
      </c>
      <c r="R555" s="37">
        <f t="shared" ref="R555" si="501">AVERAGE(Q555:Q579)</f>
        <v>130.45614879999999</v>
      </c>
      <c r="S555" s="1">
        <v>20.883249999999997</v>
      </c>
      <c r="T555" s="30">
        <f t="shared" ref="T555" si="502">AVERAGE(S555:S559)</f>
        <v>22.490428000000001</v>
      </c>
      <c r="U555" s="40">
        <f t="shared" ref="U555" si="503">AVERAGE(T555:T579)</f>
        <v>24.119369599999999</v>
      </c>
    </row>
    <row r="556" spans="1:21" ht="16" x14ac:dyDescent="0.2">
      <c r="A556" s="31"/>
      <c r="B556" s="26"/>
      <c r="C556" s="26"/>
      <c r="D556" s="4" t="s">
        <v>8</v>
      </c>
      <c r="E556" s="2">
        <v>116.822</v>
      </c>
      <c r="F556" s="28"/>
      <c r="G556" s="38"/>
      <c r="H556" s="2">
        <v>30.015360000000001</v>
      </c>
      <c r="I556" s="28"/>
      <c r="J556" s="38"/>
      <c r="L556" s="31"/>
      <c r="M556" s="33"/>
      <c r="N556" s="26"/>
      <c r="O556" s="6" t="s">
        <v>8</v>
      </c>
      <c r="P556" s="2">
        <v>95.043580000000006</v>
      </c>
      <c r="Q556" s="28"/>
      <c r="R556" s="38"/>
      <c r="S556" s="1">
        <v>24.304310000000001</v>
      </c>
      <c r="T556" s="31"/>
      <c r="U556" s="41"/>
    </row>
    <row r="557" spans="1:21" ht="16" x14ac:dyDescent="0.2">
      <c r="A557" s="31"/>
      <c r="B557" s="26"/>
      <c r="C557" s="26"/>
      <c r="D557" s="4" t="s">
        <v>9</v>
      </c>
      <c r="E557" s="2">
        <v>239.88675000000001</v>
      </c>
      <c r="F557" s="28"/>
      <c r="G557" s="38"/>
      <c r="H557" s="2">
        <v>25.578679999999999</v>
      </c>
      <c r="I557" s="28"/>
      <c r="J557" s="38"/>
      <c r="L557" s="31"/>
      <c r="M557" s="33"/>
      <c r="N557" s="26"/>
      <c r="O557" s="6" t="s">
        <v>9</v>
      </c>
      <c r="P557" s="2">
        <v>82.292659999999998</v>
      </c>
      <c r="Q557" s="28"/>
      <c r="R557" s="38"/>
      <c r="S557" s="1">
        <v>18.167819999999999</v>
      </c>
      <c r="T557" s="31"/>
      <c r="U557" s="41"/>
    </row>
    <row r="558" spans="1:21" ht="16" x14ac:dyDescent="0.2">
      <c r="A558" s="31"/>
      <c r="B558" s="26"/>
      <c r="C558" s="26"/>
      <c r="D558" s="4" t="s">
        <v>10</v>
      </c>
      <c r="E558" s="2">
        <v>112.90048</v>
      </c>
      <c r="F558" s="28"/>
      <c r="G558" s="38"/>
      <c r="H558" s="2">
        <v>28.295810000000003</v>
      </c>
      <c r="I558" s="28"/>
      <c r="J558" s="38"/>
      <c r="L558" s="31"/>
      <c r="M558" s="33"/>
      <c r="N558" s="26"/>
      <c r="O558" s="6" t="s">
        <v>10</v>
      </c>
      <c r="P558" s="2">
        <v>89.802289999999999</v>
      </c>
      <c r="Q558" s="28"/>
      <c r="R558" s="38"/>
      <c r="S558" s="1">
        <v>21.281739999999999</v>
      </c>
      <c r="T558" s="31"/>
      <c r="U558" s="41"/>
    </row>
    <row r="559" spans="1:21" ht="16" x14ac:dyDescent="0.2">
      <c r="A559" s="31"/>
      <c r="B559" s="26"/>
      <c r="C559" s="26"/>
      <c r="D559" s="4" t="s">
        <v>11</v>
      </c>
      <c r="E559" s="2">
        <v>70.345100000000002</v>
      </c>
      <c r="F559" s="29"/>
      <c r="G559" s="38"/>
      <c r="H559" s="2">
        <v>28.952420000000004</v>
      </c>
      <c r="I559" s="29"/>
      <c r="J559" s="38"/>
      <c r="L559" s="31"/>
      <c r="M559" s="33"/>
      <c r="N559" s="26"/>
      <c r="O559" s="6" t="s">
        <v>11</v>
      </c>
      <c r="P559" s="2">
        <v>90.928960000000004</v>
      </c>
      <c r="Q559" s="29"/>
      <c r="R559" s="38"/>
      <c r="S559" s="1">
        <v>27.815020000000001</v>
      </c>
      <c r="T559" s="32"/>
      <c r="U559" s="41"/>
    </row>
    <row r="560" spans="1:21" ht="16" x14ac:dyDescent="0.2">
      <c r="A560" s="31"/>
      <c r="B560" s="26"/>
      <c r="C560" s="26">
        <v>2</v>
      </c>
      <c r="D560" s="4" t="s">
        <v>7</v>
      </c>
      <c r="E560" s="2">
        <v>209.84741000000002</v>
      </c>
      <c r="F560" s="27">
        <f t="shared" ref="F560" si="504">AVERAGE(E560:E564)</f>
        <v>125.110662</v>
      </c>
      <c r="G560" s="38"/>
      <c r="H560" s="2">
        <v>33.186819999999997</v>
      </c>
      <c r="I560" s="27">
        <f t="shared" ref="I560" si="505">AVERAGE(H560:H564)</f>
        <v>27.536446000000002</v>
      </c>
      <c r="J560" s="38"/>
      <c r="L560" s="31"/>
      <c r="M560" s="33"/>
      <c r="N560" s="26">
        <v>2</v>
      </c>
      <c r="O560" s="6" t="s">
        <v>7</v>
      </c>
      <c r="P560" s="2">
        <v>115.78453999999999</v>
      </c>
      <c r="Q560" s="27">
        <f t="shared" ref="Q560" si="506">AVERAGE(P560:P564)</f>
        <v>101.14699</v>
      </c>
      <c r="R560" s="38"/>
      <c r="S560" s="1">
        <v>23.934079999999998</v>
      </c>
      <c r="T560" s="30">
        <f t="shared" ref="T560" si="507">AVERAGE(S560:S564)</f>
        <v>21.345336000000003</v>
      </c>
      <c r="U560" s="41"/>
    </row>
    <row r="561" spans="1:21" ht="16" x14ac:dyDescent="0.2">
      <c r="A561" s="31"/>
      <c r="B561" s="26"/>
      <c r="C561" s="26"/>
      <c r="D561" s="4" t="s">
        <v>8</v>
      </c>
      <c r="E561" s="2">
        <v>108.31452999999999</v>
      </c>
      <c r="F561" s="28"/>
      <c r="G561" s="38"/>
      <c r="H561" s="2">
        <v>38.032649999999997</v>
      </c>
      <c r="I561" s="28"/>
      <c r="J561" s="38"/>
      <c r="L561" s="31"/>
      <c r="M561" s="33"/>
      <c r="N561" s="26"/>
      <c r="O561" s="6" t="s">
        <v>8</v>
      </c>
      <c r="P561" s="2">
        <v>95.126959999999997</v>
      </c>
      <c r="Q561" s="28"/>
      <c r="R561" s="38"/>
      <c r="S561" s="1">
        <v>19.198130000000003</v>
      </c>
      <c r="T561" s="31"/>
      <c r="U561" s="41"/>
    </row>
    <row r="562" spans="1:21" ht="16" x14ac:dyDescent="0.2">
      <c r="A562" s="31"/>
      <c r="B562" s="26"/>
      <c r="C562" s="26"/>
      <c r="D562" s="4" t="s">
        <v>9</v>
      </c>
      <c r="E562" s="2">
        <v>101.8274</v>
      </c>
      <c r="F562" s="28"/>
      <c r="G562" s="38"/>
      <c r="H562" s="2">
        <v>29.149259999999998</v>
      </c>
      <c r="I562" s="28"/>
      <c r="J562" s="38"/>
      <c r="L562" s="31"/>
      <c r="M562" s="33"/>
      <c r="N562" s="26"/>
      <c r="O562" s="6" t="s">
        <v>9</v>
      </c>
      <c r="P562" s="2">
        <v>102.05584999999999</v>
      </c>
      <c r="Q562" s="28"/>
      <c r="R562" s="38"/>
      <c r="S562" s="1">
        <v>22.608850000000004</v>
      </c>
      <c r="T562" s="31"/>
      <c r="U562" s="41"/>
    </row>
    <row r="563" spans="1:21" ht="16" x14ac:dyDescent="0.2">
      <c r="A563" s="31"/>
      <c r="B563" s="26"/>
      <c r="C563" s="26"/>
      <c r="D563" s="4" t="s">
        <v>10</v>
      </c>
      <c r="E563" s="2">
        <v>93.248729999999995</v>
      </c>
      <c r="F563" s="28"/>
      <c r="G563" s="38"/>
      <c r="H563" s="2">
        <v>20.691140000000001</v>
      </c>
      <c r="I563" s="28"/>
      <c r="J563" s="38"/>
      <c r="L563" s="31"/>
      <c r="M563" s="33"/>
      <c r="N563" s="26"/>
      <c r="O563" s="6" t="s">
        <v>10</v>
      </c>
      <c r="P563" s="2">
        <v>97.218420000000009</v>
      </c>
      <c r="Q563" s="28"/>
      <c r="R563" s="38"/>
      <c r="S563" s="1">
        <v>23.7682</v>
      </c>
      <c r="T563" s="31"/>
      <c r="U563" s="41"/>
    </row>
    <row r="564" spans="1:21" ht="16" x14ac:dyDescent="0.2">
      <c r="A564" s="31"/>
      <c r="B564" s="26"/>
      <c r="C564" s="26"/>
      <c r="D564" s="4" t="s">
        <v>11</v>
      </c>
      <c r="E564" s="2">
        <v>112.31523999999999</v>
      </c>
      <c r="F564" s="29"/>
      <c r="G564" s="38"/>
      <c r="H564" s="2">
        <v>16.62236</v>
      </c>
      <c r="I564" s="29"/>
      <c r="J564" s="38"/>
      <c r="L564" s="31"/>
      <c r="M564" s="33"/>
      <c r="N564" s="26"/>
      <c r="O564" s="6" t="s">
        <v>11</v>
      </c>
      <c r="P564" s="2">
        <v>95.549179999999993</v>
      </c>
      <c r="Q564" s="29"/>
      <c r="R564" s="38"/>
      <c r="S564" s="1">
        <v>17.217420000000001</v>
      </c>
      <c r="T564" s="32"/>
      <c r="U564" s="41"/>
    </row>
    <row r="565" spans="1:21" ht="16" x14ac:dyDescent="0.2">
      <c r="A565" s="31"/>
      <c r="B565" s="26"/>
      <c r="C565" s="26">
        <v>3</v>
      </c>
      <c r="D565" s="4" t="s">
        <v>7</v>
      </c>
      <c r="E565" s="2">
        <v>102.93967000000001</v>
      </c>
      <c r="F565" s="27">
        <f t="shared" ref="F565" si="508">AVERAGE(E565:E569)</f>
        <v>149.73199200000002</v>
      </c>
      <c r="G565" s="38"/>
      <c r="H565" s="2">
        <v>21.60388</v>
      </c>
      <c r="I565" s="27">
        <f t="shared" ref="I565" si="509">AVERAGE(H565:H569)</f>
        <v>23.234449999999999</v>
      </c>
      <c r="J565" s="38"/>
      <c r="L565" s="31"/>
      <c r="M565" s="33"/>
      <c r="N565" s="26">
        <v>3</v>
      </c>
      <c r="O565" s="6" t="s">
        <v>7</v>
      </c>
      <c r="P565" s="2">
        <v>93.52940000000001</v>
      </c>
      <c r="Q565" s="27">
        <f t="shared" ref="Q565" si="510">AVERAGE(P565:P569)</f>
        <v>107.03516400000001</v>
      </c>
      <c r="R565" s="38"/>
      <c r="S565" s="1">
        <v>22.534409999999998</v>
      </c>
      <c r="T565" s="30">
        <f t="shared" ref="T565" si="511">AVERAGE(S565:S569)</f>
        <v>23.933990000000001</v>
      </c>
      <c r="U565" s="41"/>
    </row>
    <row r="566" spans="1:21" ht="16" x14ac:dyDescent="0.2">
      <c r="A566" s="31"/>
      <c r="B566" s="26"/>
      <c r="C566" s="26"/>
      <c r="D566" s="4" t="s">
        <v>8</v>
      </c>
      <c r="E566" s="2">
        <v>109.38324</v>
      </c>
      <c r="F566" s="28"/>
      <c r="G566" s="38"/>
      <c r="H566" s="2">
        <v>22.074050000000003</v>
      </c>
      <c r="I566" s="28"/>
      <c r="J566" s="38"/>
      <c r="L566" s="31"/>
      <c r="M566" s="33"/>
      <c r="N566" s="26"/>
      <c r="O566" s="6" t="s">
        <v>8</v>
      </c>
      <c r="P566" s="2">
        <v>105.71351</v>
      </c>
      <c r="Q566" s="28"/>
      <c r="R566" s="38"/>
      <c r="S566" s="1">
        <v>18.65455</v>
      </c>
      <c r="T566" s="31"/>
      <c r="U566" s="41"/>
    </row>
    <row r="567" spans="1:21" ht="16" x14ac:dyDescent="0.2">
      <c r="A567" s="31"/>
      <c r="B567" s="26"/>
      <c r="C567" s="26"/>
      <c r="D567" s="4" t="s">
        <v>9</v>
      </c>
      <c r="E567" s="2">
        <v>232.61430000000001</v>
      </c>
      <c r="F567" s="28"/>
      <c r="G567" s="38"/>
      <c r="H567" s="2">
        <v>29.188270000000003</v>
      </c>
      <c r="I567" s="28"/>
      <c r="J567" s="38"/>
      <c r="L567" s="31"/>
      <c r="M567" s="33"/>
      <c r="N567" s="26"/>
      <c r="O567" s="6" t="s">
        <v>9</v>
      </c>
      <c r="P567" s="2">
        <v>110.54651</v>
      </c>
      <c r="Q567" s="28"/>
      <c r="R567" s="38"/>
      <c r="S567" s="1">
        <v>23.40137</v>
      </c>
      <c r="T567" s="31"/>
      <c r="U567" s="41"/>
    </row>
    <row r="568" spans="1:21" ht="16" x14ac:dyDescent="0.2">
      <c r="A568" s="31"/>
      <c r="B568" s="26"/>
      <c r="C568" s="26"/>
      <c r="D568" s="4" t="s">
        <v>10</v>
      </c>
      <c r="E568" s="2">
        <v>146.62585999999999</v>
      </c>
      <c r="F568" s="28"/>
      <c r="G568" s="38"/>
      <c r="H568" s="2">
        <v>18.704169999999998</v>
      </c>
      <c r="I568" s="28"/>
      <c r="J568" s="38"/>
      <c r="L568" s="31"/>
      <c r="M568" s="33"/>
      <c r="N568" s="26"/>
      <c r="O568" s="6" t="s">
        <v>10</v>
      </c>
      <c r="P568" s="2">
        <v>128.75673</v>
      </c>
      <c r="Q568" s="28"/>
      <c r="R568" s="38"/>
      <c r="S568" s="1">
        <v>26.36027</v>
      </c>
      <c r="T568" s="31"/>
      <c r="U568" s="41"/>
    </row>
    <row r="569" spans="1:21" ht="16" x14ac:dyDescent="0.2">
      <c r="A569" s="31"/>
      <c r="B569" s="26"/>
      <c r="C569" s="26"/>
      <c r="D569" s="4" t="s">
        <v>11</v>
      </c>
      <c r="E569" s="2">
        <v>157.09689</v>
      </c>
      <c r="F569" s="29"/>
      <c r="G569" s="38"/>
      <c r="H569" s="2">
        <v>24.601880000000001</v>
      </c>
      <c r="I569" s="29"/>
      <c r="J569" s="38"/>
      <c r="L569" s="31"/>
      <c r="M569" s="33"/>
      <c r="N569" s="26"/>
      <c r="O569" s="6" t="s">
        <v>11</v>
      </c>
      <c r="P569" s="2">
        <v>96.629670000000004</v>
      </c>
      <c r="Q569" s="29"/>
      <c r="R569" s="38"/>
      <c r="S569" s="1">
        <v>28.719349999999999</v>
      </c>
      <c r="T569" s="32"/>
      <c r="U569" s="41"/>
    </row>
    <row r="570" spans="1:21" ht="16" x14ac:dyDescent="0.2">
      <c r="A570" s="31"/>
      <c r="B570" s="26"/>
      <c r="C570" s="26">
        <v>4</v>
      </c>
      <c r="D570" s="4" t="s">
        <v>7</v>
      </c>
      <c r="E570" s="2">
        <v>144.48940000000002</v>
      </c>
      <c r="F570" s="27">
        <f t="shared" ref="F570" si="512">AVERAGE(E570:E574)</f>
        <v>119.45845200000001</v>
      </c>
      <c r="G570" s="38"/>
      <c r="H570" s="2">
        <v>1.9772800000000001</v>
      </c>
      <c r="I570" s="27">
        <f t="shared" ref="I570" si="513">AVERAGE(H570:H574)</f>
        <v>21.797022000000002</v>
      </c>
      <c r="J570" s="38"/>
      <c r="L570" s="31"/>
      <c r="M570" s="33"/>
      <c r="N570" s="26">
        <v>4</v>
      </c>
      <c r="O570" s="6" t="s">
        <v>7</v>
      </c>
      <c r="P570" s="2">
        <v>325.78651000000002</v>
      </c>
      <c r="Q570" s="27">
        <f t="shared" ref="Q570" si="514">AVERAGE(P570:P574)</f>
        <v>191.85361599999999</v>
      </c>
      <c r="R570" s="38"/>
      <c r="S570" s="1">
        <v>27.055799999999998</v>
      </c>
      <c r="T570" s="30">
        <f t="shared" ref="T570" si="515">AVERAGE(S570:S574)</f>
        <v>26.960550000000001</v>
      </c>
      <c r="U570" s="41"/>
    </row>
    <row r="571" spans="1:21" ht="16" x14ac:dyDescent="0.2">
      <c r="A571" s="31"/>
      <c r="B571" s="26"/>
      <c r="C571" s="26"/>
      <c r="D571" s="4" t="s">
        <v>8</v>
      </c>
      <c r="E571" s="2">
        <v>100.10656999999999</v>
      </c>
      <c r="F571" s="28"/>
      <c r="G571" s="38"/>
      <c r="H571" s="2">
        <v>25.538600000000002</v>
      </c>
      <c r="I571" s="28"/>
      <c r="J571" s="38"/>
      <c r="L571" s="31"/>
      <c r="M571" s="33"/>
      <c r="N571" s="26"/>
      <c r="O571" s="6" t="s">
        <v>8</v>
      </c>
      <c r="P571" s="2">
        <v>144.53883999999999</v>
      </c>
      <c r="Q571" s="28"/>
      <c r="R571" s="38"/>
      <c r="S571" s="1">
        <v>25.449180000000002</v>
      </c>
      <c r="T571" s="31"/>
      <c r="U571" s="41"/>
    </row>
    <row r="572" spans="1:21" ht="16" x14ac:dyDescent="0.2">
      <c r="A572" s="31"/>
      <c r="B572" s="26"/>
      <c r="C572" s="26"/>
      <c r="D572" s="4" t="s">
        <v>9</v>
      </c>
      <c r="E572" s="2">
        <v>104.70551999999999</v>
      </c>
      <c r="F572" s="28"/>
      <c r="G572" s="38"/>
      <c r="H572" s="2">
        <v>25.664099999999998</v>
      </c>
      <c r="I572" s="28"/>
      <c r="J572" s="38"/>
      <c r="L572" s="31"/>
      <c r="M572" s="33"/>
      <c r="N572" s="26"/>
      <c r="O572" s="6" t="s">
        <v>9</v>
      </c>
      <c r="P572" s="2">
        <v>146.93815000000001</v>
      </c>
      <c r="Q572" s="28"/>
      <c r="R572" s="38"/>
      <c r="S572" s="1">
        <v>25.612579999999998</v>
      </c>
      <c r="T572" s="31"/>
      <c r="U572" s="41"/>
    </row>
    <row r="573" spans="1:21" ht="16" x14ac:dyDescent="0.2">
      <c r="A573" s="31"/>
      <c r="B573" s="26"/>
      <c r="C573" s="26"/>
      <c r="D573" s="4" t="s">
        <v>10</v>
      </c>
      <c r="E573" s="2">
        <v>148.30967000000001</v>
      </c>
      <c r="F573" s="28"/>
      <c r="G573" s="38"/>
      <c r="H573" s="2">
        <v>24.779330000000002</v>
      </c>
      <c r="I573" s="28"/>
      <c r="J573" s="38"/>
      <c r="L573" s="31"/>
      <c r="M573" s="33"/>
      <c r="N573" s="26"/>
      <c r="O573" s="6" t="s">
        <v>10</v>
      </c>
      <c r="P573" s="2">
        <v>189.04667000000001</v>
      </c>
      <c r="Q573" s="28"/>
      <c r="R573" s="38"/>
      <c r="S573" s="1">
        <v>29.082269999999998</v>
      </c>
      <c r="T573" s="31"/>
      <c r="U573" s="41"/>
    </row>
    <row r="574" spans="1:21" ht="16" x14ac:dyDescent="0.2">
      <c r="A574" s="31"/>
      <c r="B574" s="26"/>
      <c r="C574" s="26"/>
      <c r="D574" s="4" t="s">
        <v>11</v>
      </c>
      <c r="E574" s="2">
        <v>99.681100000000001</v>
      </c>
      <c r="F574" s="29"/>
      <c r="G574" s="38"/>
      <c r="H574" s="2">
        <v>31.0258</v>
      </c>
      <c r="I574" s="29"/>
      <c r="J574" s="38"/>
      <c r="L574" s="31"/>
      <c r="M574" s="33"/>
      <c r="N574" s="26"/>
      <c r="O574" s="6" t="s">
        <v>11</v>
      </c>
      <c r="P574" s="2">
        <v>152.95791</v>
      </c>
      <c r="Q574" s="29"/>
      <c r="R574" s="38"/>
      <c r="S574" s="1">
        <v>27.602919999999997</v>
      </c>
      <c r="T574" s="32"/>
      <c r="U574" s="41"/>
    </row>
    <row r="575" spans="1:21" ht="16" x14ac:dyDescent="0.2">
      <c r="A575" s="31"/>
      <c r="B575" s="26"/>
      <c r="C575" s="26">
        <v>5</v>
      </c>
      <c r="D575" s="4" t="s">
        <v>7</v>
      </c>
      <c r="E575" s="2">
        <v>100.4894</v>
      </c>
      <c r="F575" s="27">
        <f t="shared" ref="F575" si="516">AVERAGE(E575:E579)</f>
        <v>110.65845200000001</v>
      </c>
      <c r="G575" s="38"/>
      <c r="H575" s="2">
        <v>27.58643</v>
      </c>
      <c r="I575" s="27">
        <f t="shared" ref="I575" si="517">AVERAGE(H575:H579)</f>
        <v>24.172328</v>
      </c>
      <c r="J575" s="38"/>
      <c r="L575" s="31"/>
      <c r="M575" s="33"/>
      <c r="N575" s="26">
        <v>5</v>
      </c>
      <c r="O575" s="6" t="s">
        <v>7</v>
      </c>
      <c r="P575" s="2">
        <v>170.17166</v>
      </c>
      <c r="Q575" s="27">
        <f t="shared" ref="Q575" si="518">AVERAGE(P575:P579)</f>
        <v>160.562836</v>
      </c>
      <c r="R575" s="38"/>
      <c r="S575" s="1">
        <v>11.588089999999999</v>
      </c>
      <c r="T575" s="30">
        <f t="shared" ref="T575" si="519">AVERAGE(S575:S579)</f>
        <v>25.866543999999998</v>
      </c>
      <c r="U575" s="41"/>
    </row>
    <row r="576" spans="1:21" ht="16" x14ac:dyDescent="0.2">
      <c r="A576" s="31"/>
      <c r="B576" s="26"/>
      <c r="C576" s="26"/>
      <c r="D576" s="4" t="s">
        <v>8</v>
      </c>
      <c r="E576" s="2">
        <v>90.106569999999991</v>
      </c>
      <c r="F576" s="28"/>
      <c r="G576" s="38"/>
      <c r="H576" s="2">
        <v>22.550320000000003</v>
      </c>
      <c r="I576" s="28"/>
      <c r="J576" s="38"/>
      <c r="L576" s="31"/>
      <c r="M576" s="33"/>
      <c r="N576" s="26"/>
      <c r="O576" s="6" t="s">
        <v>8</v>
      </c>
      <c r="P576" s="2">
        <v>132.49644000000001</v>
      </c>
      <c r="Q576" s="28"/>
      <c r="R576" s="38"/>
      <c r="S576" s="1">
        <v>30.710790000000003</v>
      </c>
      <c r="T576" s="31"/>
      <c r="U576" s="41"/>
    </row>
    <row r="577" spans="1:21" ht="16" x14ac:dyDescent="0.2">
      <c r="A577" s="31"/>
      <c r="B577" s="26"/>
      <c r="C577" s="26"/>
      <c r="D577" s="4" t="s">
        <v>9</v>
      </c>
      <c r="E577" s="2">
        <v>104.70551999999999</v>
      </c>
      <c r="F577" s="28"/>
      <c r="G577" s="38"/>
      <c r="H577" s="2">
        <v>19.504259999999999</v>
      </c>
      <c r="I577" s="28"/>
      <c r="J577" s="38"/>
      <c r="L577" s="31"/>
      <c r="M577" s="33"/>
      <c r="N577" s="26"/>
      <c r="O577" s="6" t="s">
        <v>9</v>
      </c>
      <c r="P577" s="2">
        <v>156.79714999999999</v>
      </c>
      <c r="Q577" s="28"/>
      <c r="R577" s="38"/>
      <c r="S577" s="1">
        <v>25.969340000000003</v>
      </c>
      <c r="T577" s="31"/>
      <c r="U577" s="41"/>
    </row>
    <row r="578" spans="1:21" ht="16" x14ac:dyDescent="0.2">
      <c r="A578" s="31"/>
      <c r="B578" s="26"/>
      <c r="C578" s="26"/>
      <c r="D578" s="4" t="s">
        <v>10</v>
      </c>
      <c r="E578" s="2">
        <v>98.309670000000011</v>
      </c>
      <c r="F578" s="28"/>
      <c r="G578" s="38"/>
      <c r="H578" s="2">
        <v>28.279109999999999</v>
      </c>
      <c r="I578" s="28"/>
      <c r="J578" s="38"/>
      <c r="L578" s="31"/>
      <c r="M578" s="33"/>
      <c r="N578" s="26"/>
      <c r="O578" s="6" t="s">
        <v>10</v>
      </c>
      <c r="P578" s="2">
        <v>174.77311</v>
      </c>
      <c r="Q578" s="28"/>
      <c r="R578" s="38"/>
      <c r="S578" s="1">
        <v>32.838099999999997</v>
      </c>
      <c r="T578" s="31"/>
      <c r="U578" s="41"/>
    </row>
    <row r="579" spans="1:21" ht="16" x14ac:dyDescent="0.2">
      <c r="A579" s="31"/>
      <c r="B579" s="26"/>
      <c r="C579" s="26"/>
      <c r="D579" s="4" t="s">
        <v>11</v>
      </c>
      <c r="E579" s="2">
        <v>159.68110000000001</v>
      </c>
      <c r="F579" s="29"/>
      <c r="G579" s="39"/>
      <c r="H579" s="2">
        <v>22.941520000000001</v>
      </c>
      <c r="I579" s="29"/>
      <c r="J579" s="39"/>
      <c r="L579" s="31"/>
      <c r="M579" s="33"/>
      <c r="N579" s="26"/>
      <c r="O579" s="6" t="s">
        <v>11</v>
      </c>
      <c r="P579" s="2">
        <v>168.57581999999999</v>
      </c>
      <c r="Q579" s="29"/>
      <c r="R579" s="39"/>
      <c r="S579" s="1">
        <v>28.226399999999998</v>
      </c>
      <c r="T579" s="32"/>
      <c r="U579" s="42"/>
    </row>
    <row r="580" spans="1:21" ht="16" x14ac:dyDescent="0.2">
      <c r="A580" s="31"/>
      <c r="B580" s="33">
        <v>3</v>
      </c>
      <c r="C580" s="26">
        <v>1</v>
      </c>
      <c r="D580" s="4" t="s">
        <v>7</v>
      </c>
      <c r="E580" s="2">
        <v>102.93967000000001</v>
      </c>
      <c r="F580" s="27">
        <f t="shared" ref="F580" si="520">AVERAGE(E580:E584)</f>
        <v>149.73199200000002</v>
      </c>
      <c r="G580" s="37">
        <f>AVERAGE(F580:F604)</f>
        <v>123.84318880000001</v>
      </c>
      <c r="H580" s="2">
        <v>27.127359999999999</v>
      </c>
      <c r="I580" s="27">
        <f t="shared" ref="I580" si="521">AVERAGE(H580:H584)</f>
        <v>24.355039999999995</v>
      </c>
      <c r="J580" s="37">
        <f t="shared" ref="J580" si="522">AVERAGE(I580:I604)</f>
        <v>24.055326000000001</v>
      </c>
      <c r="L580" s="31"/>
      <c r="M580" s="33">
        <v>3</v>
      </c>
      <c r="N580" s="26">
        <v>1</v>
      </c>
      <c r="O580" s="6" t="s">
        <v>7</v>
      </c>
      <c r="P580" s="2">
        <v>79.88646</v>
      </c>
      <c r="Q580" s="27">
        <f t="shared" ref="Q580" si="523">AVERAGE(P580:P584)</f>
        <v>96.683502000000004</v>
      </c>
      <c r="R580" s="37">
        <f t="shared" ref="R580" si="524">AVERAGE(Q580:Q604)</f>
        <v>118.7162668</v>
      </c>
      <c r="S580" s="1">
        <v>23.731640000000002</v>
      </c>
      <c r="T580" s="30">
        <f t="shared" ref="T580" si="525">AVERAGE(S580:S584)</f>
        <v>26.791751999999995</v>
      </c>
      <c r="U580" s="40">
        <f t="shared" ref="U580" si="526">AVERAGE(T580:T604)</f>
        <v>23.314436799999996</v>
      </c>
    </row>
    <row r="581" spans="1:21" ht="16" x14ac:dyDescent="0.2">
      <c r="A581" s="31"/>
      <c r="B581" s="33"/>
      <c r="C581" s="26"/>
      <c r="D581" s="4" t="s">
        <v>8</v>
      </c>
      <c r="E581" s="2">
        <v>109.38324</v>
      </c>
      <c r="F581" s="28"/>
      <c r="G581" s="38"/>
      <c r="H581" s="2">
        <v>21.7837</v>
      </c>
      <c r="I581" s="28"/>
      <c r="J581" s="38"/>
      <c r="L581" s="31"/>
      <c r="M581" s="33"/>
      <c r="N581" s="26"/>
      <c r="O581" s="6" t="s">
        <v>8</v>
      </c>
      <c r="P581" s="2">
        <v>101.15522999999999</v>
      </c>
      <c r="Q581" s="28"/>
      <c r="R581" s="38"/>
      <c r="S581" s="1">
        <v>25.325059999999997</v>
      </c>
      <c r="T581" s="31"/>
      <c r="U581" s="41"/>
    </row>
    <row r="582" spans="1:21" ht="16" x14ac:dyDescent="0.2">
      <c r="A582" s="31"/>
      <c r="B582" s="33"/>
      <c r="C582" s="26"/>
      <c r="D582" s="4" t="s">
        <v>9</v>
      </c>
      <c r="E582" s="2">
        <v>232.61430000000001</v>
      </c>
      <c r="F582" s="28"/>
      <c r="G582" s="38"/>
      <c r="H582" s="2">
        <v>27.588339999999999</v>
      </c>
      <c r="I582" s="28"/>
      <c r="J582" s="38"/>
      <c r="L582" s="31"/>
      <c r="M582" s="33"/>
      <c r="N582" s="26"/>
      <c r="O582" s="6" t="s">
        <v>9</v>
      </c>
      <c r="P582" s="2">
        <v>85.320800000000006</v>
      </c>
      <c r="Q582" s="28"/>
      <c r="R582" s="38"/>
      <c r="S582" s="1">
        <v>29.138649999999998</v>
      </c>
      <c r="T582" s="31"/>
      <c r="U582" s="41"/>
    </row>
    <row r="583" spans="1:21" ht="16" x14ac:dyDescent="0.2">
      <c r="A583" s="31"/>
      <c r="B583" s="33"/>
      <c r="C583" s="26"/>
      <c r="D583" s="4" t="s">
        <v>10</v>
      </c>
      <c r="E583" s="2">
        <v>146.62585999999999</v>
      </c>
      <c r="F583" s="28"/>
      <c r="G583" s="38"/>
      <c r="H583" s="2">
        <v>23.072020000000002</v>
      </c>
      <c r="I583" s="28"/>
      <c r="J583" s="38"/>
      <c r="L583" s="31"/>
      <c r="M583" s="33"/>
      <c r="N583" s="26"/>
      <c r="O583" s="6" t="s">
        <v>10</v>
      </c>
      <c r="P583" s="2">
        <v>124.40534</v>
      </c>
      <c r="Q583" s="28"/>
      <c r="R583" s="38"/>
      <c r="S583" s="1">
        <v>27.791889999999999</v>
      </c>
      <c r="T583" s="31"/>
      <c r="U583" s="41"/>
    </row>
    <row r="584" spans="1:21" ht="16" x14ac:dyDescent="0.2">
      <c r="A584" s="31"/>
      <c r="B584" s="33"/>
      <c r="C584" s="26"/>
      <c r="D584" s="4" t="s">
        <v>11</v>
      </c>
      <c r="E584" s="2">
        <v>157.09689</v>
      </c>
      <c r="F584" s="29"/>
      <c r="G584" s="38"/>
      <c r="H584" s="2">
        <v>22.203780000000002</v>
      </c>
      <c r="I584" s="29"/>
      <c r="J584" s="38"/>
      <c r="L584" s="31"/>
      <c r="M584" s="33"/>
      <c r="N584" s="26"/>
      <c r="O584" s="6" t="s">
        <v>11</v>
      </c>
      <c r="P584" s="2">
        <v>92.649680000000004</v>
      </c>
      <c r="Q584" s="29"/>
      <c r="R584" s="38"/>
      <c r="S584" s="1">
        <v>27.971520000000002</v>
      </c>
      <c r="T584" s="32"/>
      <c r="U584" s="41"/>
    </row>
    <row r="585" spans="1:21" ht="16" x14ac:dyDescent="0.2">
      <c r="A585" s="31"/>
      <c r="B585" s="33"/>
      <c r="C585" s="26">
        <v>2</v>
      </c>
      <c r="D585" s="4" t="s">
        <v>7</v>
      </c>
      <c r="E585" s="2">
        <v>145.13819999999998</v>
      </c>
      <c r="F585" s="27">
        <f t="shared" ref="F585" si="527">AVERAGE(E585:E589)</f>
        <v>110.555988</v>
      </c>
      <c r="G585" s="38"/>
      <c r="H585" s="2">
        <v>22.846590000000003</v>
      </c>
      <c r="I585" s="27">
        <f t="shared" ref="I585" si="528">AVERAGE(H585:H589)</f>
        <v>24.846718000000003</v>
      </c>
      <c r="J585" s="38"/>
      <c r="L585" s="31"/>
      <c r="M585" s="33"/>
      <c r="N585" s="26">
        <v>2</v>
      </c>
      <c r="O585" s="6" t="s">
        <v>7</v>
      </c>
      <c r="P585" s="2">
        <v>109.30964</v>
      </c>
      <c r="Q585" s="27">
        <f t="shared" ref="Q585" si="529">AVERAGE(P585:P589)</f>
        <v>106.466156</v>
      </c>
      <c r="R585" s="38"/>
      <c r="S585" s="1">
        <v>27.794039999999999</v>
      </c>
      <c r="T585" s="30">
        <f t="shared" ref="T585" si="530">AVERAGE(S585:S589)</f>
        <v>23.231925999999998</v>
      </c>
      <c r="U585" s="41"/>
    </row>
    <row r="586" spans="1:21" ht="16" x14ac:dyDescent="0.2">
      <c r="A586" s="31"/>
      <c r="B586" s="33"/>
      <c r="C586" s="26"/>
      <c r="D586" s="4" t="s">
        <v>8</v>
      </c>
      <c r="E586" s="2">
        <v>107.41086999999999</v>
      </c>
      <c r="F586" s="28"/>
      <c r="G586" s="38"/>
      <c r="H586" s="2">
        <v>25.934229999999999</v>
      </c>
      <c r="I586" s="28"/>
      <c r="J586" s="38"/>
      <c r="L586" s="31"/>
      <c r="M586" s="33"/>
      <c r="N586" s="26"/>
      <c r="O586" s="6" t="s">
        <v>8</v>
      </c>
      <c r="P586" s="2">
        <v>113.55213999999999</v>
      </c>
      <c r="Q586" s="28"/>
      <c r="R586" s="38"/>
      <c r="S586" s="1">
        <v>19.868469999999999</v>
      </c>
      <c r="T586" s="31"/>
      <c r="U586" s="41"/>
    </row>
    <row r="587" spans="1:21" ht="16" x14ac:dyDescent="0.2">
      <c r="A587" s="31"/>
      <c r="B587" s="33"/>
      <c r="C587" s="26"/>
      <c r="D587" s="4" t="s">
        <v>9</v>
      </c>
      <c r="E587" s="2">
        <v>122.26099000000001</v>
      </c>
      <c r="F587" s="28"/>
      <c r="G587" s="38"/>
      <c r="H587" s="2">
        <v>20.312239999999999</v>
      </c>
      <c r="I587" s="28"/>
      <c r="J587" s="38"/>
      <c r="L587" s="31"/>
      <c r="M587" s="33"/>
      <c r="N587" s="26"/>
      <c r="O587" s="6" t="s">
        <v>9</v>
      </c>
      <c r="P587" s="2">
        <v>94.10602999999999</v>
      </c>
      <c r="Q587" s="28"/>
      <c r="R587" s="38"/>
      <c r="S587" s="1">
        <v>19.294090000000001</v>
      </c>
      <c r="T587" s="31"/>
      <c r="U587" s="41"/>
    </row>
    <row r="588" spans="1:21" ht="16" x14ac:dyDescent="0.2">
      <c r="A588" s="31"/>
      <c r="B588" s="33"/>
      <c r="C588" s="26"/>
      <c r="D588" s="4" t="s">
        <v>10</v>
      </c>
      <c r="E588" s="2">
        <v>99.367630000000005</v>
      </c>
      <c r="F588" s="28"/>
      <c r="G588" s="38"/>
      <c r="H588" s="2">
        <v>27.643280000000001</v>
      </c>
      <c r="I588" s="28"/>
      <c r="J588" s="38"/>
      <c r="L588" s="31"/>
      <c r="M588" s="33"/>
      <c r="N588" s="26"/>
      <c r="O588" s="6" t="s">
        <v>10</v>
      </c>
      <c r="P588" s="2">
        <v>91.24448000000001</v>
      </c>
      <c r="Q588" s="28"/>
      <c r="R588" s="38"/>
      <c r="S588" s="1">
        <v>24.173189999999998</v>
      </c>
      <c r="T588" s="31"/>
      <c r="U588" s="41"/>
    </row>
    <row r="589" spans="1:21" ht="16" x14ac:dyDescent="0.2">
      <c r="A589" s="31"/>
      <c r="B589" s="33"/>
      <c r="C589" s="26"/>
      <c r="D589" s="4" t="s">
        <v>11</v>
      </c>
      <c r="E589" s="2">
        <v>78.602249999999998</v>
      </c>
      <c r="F589" s="29"/>
      <c r="G589" s="38"/>
      <c r="H589" s="2">
        <v>27.497249999999998</v>
      </c>
      <c r="I589" s="29"/>
      <c r="J589" s="38"/>
      <c r="L589" s="31"/>
      <c r="M589" s="33"/>
      <c r="N589" s="26"/>
      <c r="O589" s="6" t="s">
        <v>11</v>
      </c>
      <c r="P589" s="2">
        <v>124.11849000000001</v>
      </c>
      <c r="Q589" s="29"/>
      <c r="R589" s="38"/>
      <c r="S589" s="1">
        <v>25.02984</v>
      </c>
      <c r="T589" s="32"/>
      <c r="U589" s="41"/>
    </row>
    <row r="590" spans="1:21" ht="16" x14ac:dyDescent="0.2">
      <c r="A590" s="31"/>
      <c r="B590" s="33"/>
      <c r="C590" s="26">
        <v>3</v>
      </c>
      <c r="D590" s="4" t="s">
        <v>7</v>
      </c>
      <c r="E590" s="2">
        <v>145.13819999999998</v>
      </c>
      <c r="F590" s="27">
        <f t="shared" ref="F590" si="531">AVERAGE(E590:E594)</f>
        <v>119.79598799999999</v>
      </c>
      <c r="G590" s="38"/>
      <c r="H590" s="2">
        <v>20.109819999999999</v>
      </c>
      <c r="I590" s="27">
        <f t="shared" ref="I590" si="532">AVERAGE(H590:H594)</f>
        <v>24.386081999999998</v>
      </c>
      <c r="J590" s="38"/>
      <c r="L590" s="31"/>
      <c r="M590" s="33"/>
      <c r="N590" s="26">
        <v>3</v>
      </c>
      <c r="O590" s="6" t="s">
        <v>7</v>
      </c>
      <c r="P590" s="2">
        <v>137.63093000000001</v>
      </c>
      <c r="Q590" s="27">
        <f t="shared" ref="Q590" si="533">AVERAGE(P590:P594)</f>
        <v>135.44389199999998</v>
      </c>
      <c r="R590" s="38"/>
      <c r="S590" s="1">
        <v>26.778859999999998</v>
      </c>
      <c r="T590" s="30">
        <f t="shared" ref="T590" si="534">AVERAGE(S590:S594)</f>
        <v>22.035429999999998</v>
      </c>
      <c r="U590" s="41"/>
    </row>
    <row r="591" spans="1:21" ht="16" x14ac:dyDescent="0.2">
      <c r="A591" s="31"/>
      <c r="B591" s="33"/>
      <c r="C591" s="26"/>
      <c r="D591" s="4" t="s">
        <v>8</v>
      </c>
      <c r="E591" s="2">
        <v>107.41086999999999</v>
      </c>
      <c r="F591" s="28"/>
      <c r="G591" s="38"/>
      <c r="H591" s="2">
        <v>23.539189999999998</v>
      </c>
      <c r="I591" s="28"/>
      <c r="J591" s="38"/>
      <c r="L591" s="31"/>
      <c r="M591" s="33"/>
      <c r="N591" s="26"/>
      <c r="O591" s="6" t="s">
        <v>8</v>
      </c>
      <c r="P591" s="2">
        <v>142.50048000000001</v>
      </c>
      <c r="Q591" s="28"/>
      <c r="R591" s="38"/>
      <c r="S591" s="1">
        <v>19.677329999999998</v>
      </c>
      <c r="T591" s="31"/>
      <c r="U591" s="41"/>
    </row>
    <row r="592" spans="1:21" ht="16" x14ac:dyDescent="0.2">
      <c r="A592" s="31"/>
      <c r="B592" s="33"/>
      <c r="C592" s="26"/>
      <c r="D592" s="4" t="s">
        <v>9</v>
      </c>
      <c r="E592" s="2">
        <v>122.26099000000001</v>
      </c>
      <c r="F592" s="28"/>
      <c r="G592" s="38"/>
      <c r="H592" s="2">
        <v>26.529710000000001</v>
      </c>
      <c r="I592" s="28"/>
      <c r="J592" s="38"/>
      <c r="L592" s="31"/>
      <c r="M592" s="33"/>
      <c r="N592" s="26"/>
      <c r="O592" s="6" t="s">
        <v>9</v>
      </c>
      <c r="P592" s="2">
        <v>135.16352999999998</v>
      </c>
      <c r="Q592" s="28"/>
      <c r="R592" s="38"/>
      <c r="S592" s="1">
        <v>24.779330000000002</v>
      </c>
      <c r="T592" s="31"/>
      <c r="U592" s="41"/>
    </row>
    <row r="593" spans="1:22" ht="16" x14ac:dyDescent="0.2">
      <c r="A593" s="31"/>
      <c r="B593" s="33"/>
      <c r="C593" s="26"/>
      <c r="D593" s="4" t="s">
        <v>10</v>
      </c>
      <c r="E593" s="2">
        <v>139.36763000000002</v>
      </c>
      <c r="F593" s="28"/>
      <c r="G593" s="38"/>
      <c r="H593" s="2">
        <v>23.244720000000001</v>
      </c>
      <c r="I593" s="28"/>
      <c r="J593" s="38"/>
      <c r="L593" s="31"/>
      <c r="M593" s="33"/>
      <c r="N593" s="26"/>
      <c r="O593" s="6" t="s">
        <v>10</v>
      </c>
      <c r="P593" s="2">
        <v>120.81621</v>
      </c>
      <c r="Q593" s="28"/>
      <c r="R593" s="38"/>
      <c r="S593" s="1">
        <v>21.465169999999997</v>
      </c>
      <c r="T593" s="31"/>
      <c r="U593" s="41"/>
    </row>
    <row r="594" spans="1:22" ht="16" x14ac:dyDescent="0.2">
      <c r="A594" s="31"/>
      <c r="B594" s="33"/>
      <c r="C594" s="26"/>
      <c r="D594" s="4" t="s">
        <v>11</v>
      </c>
      <c r="E594" s="2">
        <v>84.802250000000001</v>
      </c>
      <c r="F594" s="29"/>
      <c r="G594" s="38"/>
      <c r="H594" s="2">
        <v>28.506970000000003</v>
      </c>
      <c r="I594" s="29"/>
      <c r="J594" s="38"/>
      <c r="L594" s="31"/>
      <c r="M594" s="33"/>
      <c r="N594" s="26"/>
      <c r="O594" s="6" t="s">
        <v>11</v>
      </c>
      <c r="P594" s="2">
        <v>141.10830999999999</v>
      </c>
      <c r="Q594" s="29"/>
      <c r="R594" s="38"/>
      <c r="S594" s="1">
        <v>17.476459999999999</v>
      </c>
      <c r="T594" s="32"/>
      <c r="U594" s="41"/>
    </row>
    <row r="595" spans="1:22" ht="16" x14ac:dyDescent="0.2">
      <c r="A595" s="31"/>
      <c r="B595" s="33"/>
      <c r="C595" s="26">
        <v>4</v>
      </c>
      <c r="D595" s="4" t="s">
        <v>7</v>
      </c>
      <c r="E595" s="2">
        <v>145.13819999999998</v>
      </c>
      <c r="F595" s="27">
        <f t="shared" ref="F595" si="535">AVERAGE(E595:E599)</f>
        <v>122.57598800000001</v>
      </c>
      <c r="G595" s="38"/>
      <c r="H595" s="2">
        <v>24.010850000000001</v>
      </c>
      <c r="I595" s="27">
        <f t="shared" ref="I595" si="536">AVERAGE(H595:H599)</f>
        <v>23.991938000000001</v>
      </c>
      <c r="J595" s="38"/>
      <c r="L595" s="31"/>
      <c r="M595" s="33"/>
      <c r="N595" s="26">
        <v>4</v>
      </c>
      <c r="O595" s="6" t="s">
        <v>7</v>
      </c>
      <c r="P595" s="2">
        <v>102.13093000000001</v>
      </c>
      <c r="Q595" s="27">
        <f t="shared" ref="Q595" si="537">AVERAGE(P595:P599)</f>
        <v>118.94389200000001</v>
      </c>
      <c r="R595" s="38"/>
      <c r="S595" s="1">
        <v>21.176210000000001</v>
      </c>
      <c r="T595" s="30">
        <f t="shared" ref="T595" si="538">AVERAGE(S595:S599)</f>
        <v>21.556180000000001</v>
      </c>
      <c r="U595" s="41"/>
    </row>
    <row r="596" spans="1:22" ht="16" x14ac:dyDescent="0.2">
      <c r="A596" s="31"/>
      <c r="B596" s="33"/>
      <c r="C596" s="26"/>
      <c r="D596" s="4" t="s">
        <v>8</v>
      </c>
      <c r="E596" s="2">
        <v>107.41086999999999</v>
      </c>
      <c r="F596" s="28"/>
      <c r="G596" s="38"/>
      <c r="H596" s="2">
        <v>24.24663</v>
      </c>
      <c r="I596" s="28"/>
      <c r="J596" s="38"/>
      <c r="L596" s="31"/>
      <c r="M596" s="33"/>
      <c r="N596" s="26"/>
      <c r="O596" s="6" t="s">
        <v>8</v>
      </c>
      <c r="P596" s="2">
        <v>122.50048000000001</v>
      </c>
      <c r="Q596" s="28"/>
      <c r="R596" s="38"/>
      <c r="S596" s="1">
        <v>20.531640000000003</v>
      </c>
      <c r="T596" s="31"/>
      <c r="U596" s="41"/>
    </row>
    <row r="597" spans="1:22" ht="16" x14ac:dyDescent="0.2">
      <c r="A597" s="31"/>
      <c r="B597" s="33"/>
      <c r="C597" s="26"/>
      <c r="D597" s="4" t="s">
        <v>9</v>
      </c>
      <c r="E597" s="2">
        <v>132.26098999999999</v>
      </c>
      <c r="F597" s="28"/>
      <c r="G597" s="38"/>
      <c r="H597" s="2">
        <v>29.881610000000002</v>
      </c>
      <c r="I597" s="28"/>
      <c r="J597" s="38"/>
      <c r="L597" s="31"/>
      <c r="M597" s="33"/>
      <c r="N597" s="26"/>
      <c r="O597" s="6" t="s">
        <v>9</v>
      </c>
      <c r="P597" s="2">
        <v>138.16352999999998</v>
      </c>
      <c r="Q597" s="28"/>
      <c r="R597" s="38"/>
      <c r="S597" s="1">
        <v>24.26511</v>
      </c>
      <c r="T597" s="31"/>
      <c r="U597" s="41"/>
    </row>
    <row r="598" spans="1:22" ht="16" x14ac:dyDescent="0.2">
      <c r="A598" s="31"/>
      <c r="B598" s="33"/>
      <c r="C598" s="26"/>
      <c r="D598" s="4" t="s">
        <v>10</v>
      </c>
      <c r="E598" s="2">
        <v>139.36763000000002</v>
      </c>
      <c r="F598" s="28"/>
      <c r="G598" s="38"/>
      <c r="H598" s="2">
        <v>23.417089999999998</v>
      </c>
      <c r="I598" s="28"/>
      <c r="J598" s="38"/>
      <c r="L598" s="31"/>
      <c r="M598" s="33"/>
      <c r="N598" s="26"/>
      <c r="O598" s="6" t="s">
        <v>10</v>
      </c>
      <c r="P598" s="2">
        <v>120.81621</v>
      </c>
      <c r="Q598" s="28"/>
      <c r="R598" s="38"/>
      <c r="S598" s="1">
        <v>20.54073</v>
      </c>
      <c r="T598" s="31"/>
      <c r="U598" s="41"/>
    </row>
    <row r="599" spans="1:22" ht="16" x14ac:dyDescent="0.2">
      <c r="A599" s="31"/>
      <c r="B599" s="33"/>
      <c r="C599" s="26"/>
      <c r="D599" s="4" t="s">
        <v>11</v>
      </c>
      <c r="E599" s="2">
        <v>88.702250000000006</v>
      </c>
      <c r="F599" s="29"/>
      <c r="G599" s="38"/>
      <c r="H599" s="2">
        <v>18.403510000000001</v>
      </c>
      <c r="I599" s="29"/>
      <c r="J599" s="38"/>
      <c r="L599" s="31"/>
      <c r="M599" s="33"/>
      <c r="N599" s="26"/>
      <c r="O599" s="6" t="s">
        <v>11</v>
      </c>
      <c r="P599" s="2">
        <v>111.10831</v>
      </c>
      <c r="Q599" s="29"/>
      <c r="R599" s="38"/>
      <c r="S599" s="1">
        <v>21.267209999999999</v>
      </c>
      <c r="T599" s="32"/>
      <c r="U599" s="41"/>
    </row>
    <row r="600" spans="1:22" ht="16" x14ac:dyDescent="0.2">
      <c r="A600" s="31"/>
      <c r="B600" s="33"/>
      <c r="C600" s="26">
        <v>5</v>
      </c>
      <c r="D600" s="4" t="s">
        <v>7</v>
      </c>
      <c r="E600" s="2">
        <v>85.138199999999998</v>
      </c>
      <c r="F600" s="27">
        <f t="shared" ref="F600" si="539">AVERAGE(E600:E604)</f>
        <v>116.555988</v>
      </c>
      <c r="G600" s="38"/>
      <c r="H600" s="2">
        <v>26.157310000000003</v>
      </c>
      <c r="I600" s="27">
        <f t="shared" ref="I600" si="540">AVERAGE(H600:H604)</f>
        <v>22.696852</v>
      </c>
      <c r="J600" s="38"/>
      <c r="L600" s="31"/>
      <c r="M600" s="33"/>
      <c r="N600" s="26">
        <v>5</v>
      </c>
      <c r="O600" s="6" t="s">
        <v>7</v>
      </c>
      <c r="P600" s="2">
        <v>148.63093000000001</v>
      </c>
      <c r="Q600" s="27">
        <f t="shared" ref="Q600" si="541">AVERAGE(P600:P604)</f>
        <v>136.04389199999997</v>
      </c>
      <c r="R600" s="38"/>
      <c r="S600" s="1">
        <v>21.267209999999999</v>
      </c>
      <c r="T600" s="30">
        <f t="shared" ref="T600" si="542">AVERAGE(S600:S604)</f>
        <v>22.956896</v>
      </c>
      <c r="U600" s="41"/>
    </row>
    <row r="601" spans="1:22" ht="16" x14ac:dyDescent="0.2">
      <c r="A601" s="31"/>
      <c r="B601" s="33"/>
      <c r="C601" s="26"/>
      <c r="D601" s="4" t="s">
        <v>8</v>
      </c>
      <c r="E601" s="2">
        <v>127.41086999999999</v>
      </c>
      <c r="F601" s="28"/>
      <c r="G601" s="38"/>
      <c r="H601" s="2">
        <v>23.940349999999999</v>
      </c>
      <c r="I601" s="28"/>
      <c r="J601" s="38"/>
      <c r="L601" s="31"/>
      <c r="M601" s="33"/>
      <c r="N601" s="26"/>
      <c r="O601" s="6" t="s">
        <v>8</v>
      </c>
      <c r="P601" s="2">
        <v>131.50048000000001</v>
      </c>
      <c r="Q601" s="28"/>
      <c r="R601" s="38"/>
      <c r="S601" s="1">
        <v>27.59357</v>
      </c>
      <c r="T601" s="31"/>
      <c r="U601" s="41"/>
    </row>
    <row r="602" spans="1:22" ht="16" x14ac:dyDescent="0.2">
      <c r="A602" s="31"/>
      <c r="B602" s="33"/>
      <c r="C602" s="26"/>
      <c r="D602" s="4" t="s">
        <v>9</v>
      </c>
      <c r="E602" s="2">
        <v>142.26098999999999</v>
      </c>
      <c r="F602" s="28"/>
      <c r="G602" s="38"/>
      <c r="H602" s="2">
        <v>25.142049999999998</v>
      </c>
      <c r="I602" s="28"/>
      <c r="J602" s="38"/>
      <c r="L602" s="31"/>
      <c r="M602" s="33"/>
      <c r="N602" s="26"/>
      <c r="O602" s="6" t="s">
        <v>9</v>
      </c>
      <c r="P602" s="2">
        <v>138.16352999999998</v>
      </c>
      <c r="Q602" s="28"/>
      <c r="R602" s="38"/>
      <c r="S602" s="1">
        <v>20.38335</v>
      </c>
      <c r="T602" s="31"/>
      <c r="U602" s="41"/>
    </row>
    <row r="603" spans="1:22" ht="16" x14ac:dyDescent="0.2">
      <c r="A603" s="31"/>
      <c r="B603" s="33"/>
      <c r="C603" s="26"/>
      <c r="D603" s="4" t="s">
        <v>10</v>
      </c>
      <c r="E603" s="2">
        <v>139.36763000000002</v>
      </c>
      <c r="F603" s="28"/>
      <c r="G603" s="38"/>
      <c r="H603" s="2">
        <v>17.38813</v>
      </c>
      <c r="I603" s="28"/>
      <c r="J603" s="38"/>
      <c r="L603" s="31"/>
      <c r="M603" s="33"/>
      <c r="N603" s="26"/>
      <c r="O603" s="6" t="s">
        <v>10</v>
      </c>
      <c r="P603" s="2">
        <v>120.81621</v>
      </c>
      <c r="Q603" s="28"/>
      <c r="R603" s="38"/>
      <c r="S603" s="1">
        <v>24.52449</v>
      </c>
      <c r="T603" s="31"/>
      <c r="U603" s="41"/>
    </row>
    <row r="604" spans="1:22" ht="16" x14ac:dyDescent="0.2">
      <c r="A604" s="32"/>
      <c r="B604" s="33"/>
      <c r="C604" s="26"/>
      <c r="D604" s="4" t="s">
        <v>11</v>
      </c>
      <c r="E604" s="2">
        <v>88.602249999999998</v>
      </c>
      <c r="F604" s="29"/>
      <c r="G604" s="39"/>
      <c r="H604" s="2">
        <v>20.85642</v>
      </c>
      <c r="I604" s="29"/>
      <c r="J604" s="39"/>
      <c r="L604" s="32"/>
      <c r="M604" s="33"/>
      <c r="N604" s="26"/>
      <c r="O604" s="6" t="s">
        <v>11</v>
      </c>
      <c r="P604" s="2">
        <v>141.10830999999999</v>
      </c>
      <c r="Q604" s="29"/>
      <c r="R604" s="39"/>
      <c r="S604" s="1">
        <v>21.015859999999996</v>
      </c>
      <c r="T604" s="32"/>
      <c r="U604" s="42"/>
    </row>
    <row r="605" spans="1:22" ht="16" x14ac:dyDescent="0.2">
      <c r="A605" s="30" t="s">
        <v>13</v>
      </c>
      <c r="B605" s="33">
        <v>1</v>
      </c>
      <c r="C605" s="26">
        <v>1</v>
      </c>
      <c r="D605" s="4" t="s">
        <v>7</v>
      </c>
      <c r="E605" s="2">
        <v>106.29109</v>
      </c>
      <c r="F605" s="27">
        <f t="shared" ref="F605" si="543">AVERAGE(E605:E609)</f>
        <v>102.20609399999999</v>
      </c>
      <c r="G605" s="37">
        <f>AVERAGE(F605:F629)</f>
        <v>135.9747256</v>
      </c>
      <c r="H605" s="2">
        <v>28.978200000000001</v>
      </c>
      <c r="I605" s="27">
        <f t="shared" ref="I605" si="544">AVERAGE(H605:H609)</f>
        <v>28.953208</v>
      </c>
      <c r="J605" s="37">
        <f t="shared" ref="J605" si="545">AVERAGE(I605:I629)</f>
        <v>22.349635599999999</v>
      </c>
      <c r="L605" s="14"/>
      <c r="M605" s="15"/>
      <c r="N605" s="14"/>
      <c r="O605" s="11"/>
      <c r="P605" s="20"/>
      <c r="Q605" s="21"/>
      <c r="R605" s="22"/>
      <c r="S605" s="12"/>
      <c r="T605" s="14"/>
      <c r="U605" s="16"/>
      <c r="V605" s="13"/>
    </row>
    <row r="606" spans="1:22" ht="16" x14ac:dyDescent="0.2">
      <c r="A606" s="31"/>
      <c r="B606" s="33"/>
      <c r="C606" s="26"/>
      <c r="D606" s="4" t="s">
        <v>8</v>
      </c>
      <c r="E606" s="2">
        <v>97.293279999999996</v>
      </c>
      <c r="F606" s="28"/>
      <c r="G606" s="38"/>
      <c r="H606" s="2">
        <v>20.54073</v>
      </c>
      <c r="I606" s="28"/>
      <c r="J606" s="38"/>
      <c r="L606" s="17"/>
      <c r="M606" s="18"/>
      <c r="N606" s="17"/>
      <c r="O606" s="11"/>
      <c r="P606" s="20"/>
      <c r="Q606" s="23"/>
      <c r="R606" s="24"/>
      <c r="S606" s="12"/>
      <c r="T606" s="17"/>
      <c r="U606" s="19"/>
      <c r="V606" s="13"/>
    </row>
    <row r="607" spans="1:22" ht="16" x14ac:dyDescent="0.2">
      <c r="A607" s="31"/>
      <c r="B607" s="33"/>
      <c r="C607" s="26"/>
      <c r="D607" s="4" t="s">
        <v>9</v>
      </c>
      <c r="E607" s="2">
        <v>85.216830000000016</v>
      </c>
      <c r="F607" s="28"/>
      <c r="G607" s="38"/>
      <c r="H607" s="2">
        <v>33.070169999999997</v>
      </c>
      <c r="I607" s="28"/>
      <c r="J607" s="38"/>
      <c r="L607" s="17"/>
      <c r="M607" s="18"/>
      <c r="N607" s="17"/>
      <c r="O607" s="11"/>
      <c r="P607" s="20"/>
      <c r="Q607" s="23"/>
      <c r="R607" s="24"/>
      <c r="S607" s="12"/>
      <c r="T607" s="17"/>
      <c r="U607" s="19"/>
      <c r="V607" s="13"/>
    </row>
    <row r="608" spans="1:22" ht="16" x14ac:dyDescent="0.2">
      <c r="A608" s="31"/>
      <c r="B608" s="33"/>
      <c r="C608" s="26"/>
      <c r="D608" s="4" t="s">
        <v>10</v>
      </c>
      <c r="E608" s="2">
        <v>123.48654000000001</v>
      </c>
      <c r="F608" s="28"/>
      <c r="G608" s="38"/>
      <c r="H608" s="2">
        <v>25.939050000000002</v>
      </c>
      <c r="I608" s="28"/>
      <c r="J608" s="38"/>
      <c r="L608" s="17"/>
      <c r="M608" s="18"/>
      <c r="N608" s="17"/>
      <c r="O608" s="11"/>
      <c r="P608" s="20"/>
      <c r="Q608" s="23"/>
      <c r="R608" s="24"/>
      <c r="S608" s="12"/>
      <c r="T608" s="17"/>
      <c r="U608" s="19"/>
      <c r="V608" s="13"/>
    </row>
    <row r="609" spans="1:22" ht="16" x14ac:dyDescent="0.2">
      <c r="A609" s="31"/>
      <c r="B609" s="33"/>
      <c r="C609" s="26"/>
      <c r="D609" s="4" t="s">
        <v>11</v>
      </c>
      <c r="E609" s="2">
        <v>98.742729999999995</v>
      </c>
      <c r="F609" s="29"/>
      <c r="G609" s="38"/>
      <c r="H609" s="2">
        <v>36.23789</v>
      </c>
      <c r="I609" s="29"/>
      <c r="J609" s="38"/>
      <c r="L609" s="17"/>
      <c r="M609" s="18"/>
      <c r="N609" s="17"/>
      <c r="O609" s="11"/>
      <c r="P609" s="20"/>
      <c r="Q609" s="23"/>
      <c r="R609" s="24"/>
      <c r="S609" s="12"/>
      <c r="T609" s="17"/>
      <c r="U609" s="19"/>
      <c r="V609" s="13"/>
    </row>
    <row r="610" spans="1:22" ht="16" x14ac:dyDescent="0.2">
      <c r="A610" s="31"/>
      <c r="B610" s="33"/>
      <c r="C610" s="26">
        <v>2</v>
      </c>
      <c r="D610" s="4" t="s">
        <v>7</v>
      </c>
      <c r="E610" s="2">
        <v>136.14215999999999</v>
      </c>
      <c r="F610" s="27">
        <f t="shared" ref="F610" si="546">AVERAGE(E610:E614)</f>
        <v>128.06967399999999</v>
      </c>
      <c r="G610" s="38"/>
      <c r="H610" s="2">
        <v>23.507559999999998</v>
      </c>
      <c r="I610" s="27">
        <f t="shared" ref="I610" si="547">AVERAGE(H610:H614)</f>
        <v>21.411144</v>
      </c>
      <c r="J610" s="38"/>
      <c r="L610" s="17"/>
      <c r="M610" s="18"/>
      <c r="N610" s="17"/>
      <c r="O610" s="11"/>
      <c r="P610" s="20"/>
      <c r="Q610" s="23"/>
      <c r="R610" s="24"/>
      <c r="S610" s="12"/>
      <c r="T610" s="17"/>
      <c r="U610" s="19"/>
      <c r="V610" s="13"/>
    </row>
    <row r="611" spans="1:22" ht="16" x14ac:dyDescent="0.2">
      <c r="A611" s="31"/>
      <c r="B611" s="33"/>
      <c r="C611" s="26"/>
      <c r="D611" s="4" t="s">
        <v>8</v>
      </c>
      <c r="E611" s="2">
        <v>107.85162</v>
      </c>
      <c r="F611" s="28"/>
      <c r="G611" s="38"/>
      <c r="H611" s="2">
        <v>19.3231</v>
      </c>
      <c r="I611" s="28"/>
      <c r="J611" s="38"/>
      <c r="L611" s="17"/>
      <c r="M611" s="18"/>
      <c r="N611" s="17"/>
      <c r="O611" s="11"/>
      <c r="P611" s="20"/>
      <c r="Q611" s="23"/>
      <c r="R611" s="24"/>
      <c r="S611" s="12"/>
      <c r="T611" s="17"/>
      <c r="U611" s="19"/>
      <c r="V611" s="13"/>
    </row>
    <row r="612" spans="1:22" ht="16" x14ac:dyDescent="0.2">
      <c r="A612" s="31"/>
      <c r="B612" s="33"/>
      <c r="C612" s="26"/>
      <c r="D612" s="4" t="s">
        <v>9</v>
      </c>
      <c r="E612" s="2">
        <v>143.06924000000001</v>
      </c>
      <c r="F612" s="28"/>
      <c r="G612" s="38"/>
      <c r="H612" s="2">
        <v>17.730979999999999</v>
      </c>
      <c r="I612" s="28"/>
      <c r="J612" s="38"/>
      <c r="L612" s="17"/>
      <c r="M612" s="18"/>
      <c r="N612" s="17"/>
      <c r="O612" s="11"/>
      <c r="P612" s="20"/>
      <c r="Q612" s="23"/>
      <c r="R612" s="24"/>
      <c r="S612" s="12"/>
      <c r="T612" s="17"/>
      <c r="U612" s="19"/>
      <c r="V612" s="13"/>
    </row>
    <row r="613" spans="1:22" ht="16" x14ac:dyDescent="0.2">
      <c r="A613" s="31"/>
      <c r="B613" s="33"/>
      <c r="C613" s="26"/>
      <c r="D613" s="4" t="s">
        <v>10</v>
      </c>
      <c r="E613" s="2">
        <v>123.86242</v>
      </c>
      <c r="F613" s="28"/>
      <c r="G613" s="38"/>
      <c r="H613" s="2">
        <v>19.663489999999999</v>
      </c>
      <c r="I613" s="28"/>
      <c r="J613" s="38"/>
      <c r="L613" s="17"/>
      <c r="M613" s="18"/>
      <c r="N613" s="17"/>
      <c r="O613" s="11"/>
      <c r="P613" s="20"/>
      <c r="Q613" s="23"/>
      <c r="R613" s="24"/>
      <c r="S613" s="12"/>
      <c r="T613" s="17"/>
      <c r="U613" s="19"/>
      <c r="V613" s="13"/>
    </row>
    <row r="614" spans="1:22" ht="16" x14ac:dyDescent="0.2">
      <c r="A614" s="31"/>
      <c r="B614" s="33"/>
      <c r="C614" s="26"/>
      <c r="D614" s="4" t="s">
        <v>11</v>
      </c>
      <c r="E614" s="2">
        <v>129.42293000000001</v>
      </c>
      <c r="F614" s="29"/>
      <c r="G614" s="38"/>
      <c r="H614" s="2">
        <v>26.830590000000001</v>
      </c>
      <c r="I614" s="29"/>
      <c r="J614" s="38"/>
      <c r="L614" s="17"/>
      <c r="M614" s="18"/>
      <c r="N614" s="17"/>
      <c r="O614" s="11"/>
      <c r="P614" s="20"/>
      <c r="Q614" s="23"/>
      <c r="R614" s="24"/>
      <c r="S614" s="12"/>
      <c r="T614" s="17"/>
      <c r="U614" s="19"/>
      <c r="V614" s="13"/>
    </row>
    <row r="615" spans="1:22" ht="16" x14ac:dyDescent="0.2">
      <c r="A615" s="31"/>
      <c r="B615" s="33"/>
      <c r="C615" s="26">
        <v>3</v>
      </c>
      <c r="D615" s="4" t="s">
        <v>7</v>
      </c>
      <c r="E615" s="2">
        <v>178.18893</v>
      </c>
      <c r="F615" s="27">
        <f t="shared" ref="F615" si="548">AVERAGE(E615:E619)</f>
        <v>137.77318399999999</v>
      </c>
      <c r="G615" s="38"/>
      <c r="H615" s="2">
        <v>27.059239999999999</v>
      </c>
      <c r="I615" s="27">
        <f t="shared" ref="I615" si="549">AVERAGE(H615:H619)</f>
        <v>19.767209999999999</v>
      </c>
      <c r="J615" s="38"/>
      <c r="L615" s="17"/>
      <c r="M615" s="18"/>
      <c r="N615" s="17"/>
      <c r="O615" s="11"/>
      <c r="P615" s="20"/>
      <c r="Q615" s="23"/>
      <c r="R615" s="24"/>
      <c r="S615" s="12"/>
      <c r="T615" s="17"/>
      <c r="U615" s="19"/>
      <c r="V615" s="13"/>
    </row>
    <row r="616" spans="1:22" ht="16" x14ac:dyDescent="0.2">
      <c r="A616" s="31"/>
      <c r="B616" s="33"/>
      <c r="C616" s="26"/>
      <c r="D616" s="4" t="s">
        <v>8</v>
      </c>
      <c r="E616" s="2">
        <v>127.94751000000001</v>
      </c>
      <c r="F616" s="28"/>
      <c r="G616" s="38"/>
      <c r="H616" s="2">
        <v>16.837339999999998</v>
      </c>
      <c r="I616" s="28"/>
      <c r="J616" s="38"/>
      <c r="L616" s="17"/>
      <c r="M616" s="18"/>
      <c r="N616" s="17"/>
      <c r="O616" s="11"/>
      <c r="P616" s="20"/>
      <c r="Q616" s="23"/>
      <c r="R616" s="24"/>
      <c r="S616" s="12"/>
      <c r="T616" s="17"/>
      <c r="U616" s="19"/>
      <c r="V616" s="13"/>
    </row>
    <row r="617" spans="1:22" ht="16" x14ac:dyDescent="0.2">
      <c r="A617" s="31"/>
      <c r="B617" s="33"/>
      <c r="C617" s="26"/>
      <c r="D617" s="4" t="s">
        <v>9</v>
      </c>
      <c r="E617" s="2">
        <v>157.38303999999999</v>
      </c>
      <c r="F617" s="28"/>
      <c r="G617" s="38"/>
      <c r="H617" s="2">
        <v>19.005229999999997</v>
      </c>
      <c r="I617" s="28"/>
      <c r="J617" s="38"/>
      <c r="L617" s="17"/>
      <c r="M617" s="18"/>
      <c r="N617" s="17"/>
      <c r="O617" s="11"/>
      <c r="P617" s="20"/>
      <c r="Q617" s="23"/>
      <c r="R617" s="24"/>
      <c r="S617" s="12"/>
      <c r="T617" s="17"/>
      <c r="U617" s="19"/>
      <c r="V617" s="13"/>
    </row>
    <row r="618" spans="1:22" ht="16" x14ac:dyDescent="0.2">
      <c r="A618" s="31"/>
      <c r="B618" s="33"/>
      <c r="C618" s="26"/>
      <c r="D618" s="4" t="s">
        <v>10</v>
      </c>
      <c r="E618" s="2">
        <v>112.34018</v>
      </c>
      <c r="F618" s="28"/>
      <c r="G618" s="38"/>
      <c r="H618" s="2">
        <v>17.967120000000001</v>
      </c>
      <c r="I618" s="28"/>
      <c r="J618" s="38"/>
      <c r="L618" s="17"/>
      <c r="M618" s="18"/>
      <c r="N618" s="17"/>
      <c r="O618" s="11"/>
      <c r="P618" s="20"/>
      <c r="Q618" s="23"/>
      <c r="R618" s="24"/>
      <c r="S618" s="12"/>
      <c r="T618" s="17"/>
      <c r="U618" s="19"/>
      <c r="V618" s="13"/>
    </row>
    <row r="619" spans="1:22" ht="16" x14ac:dyDescent="0.2">
      <c r="A619" s="31"/>
      <c r="B619" s="33"/>
      <c r="C619" s="26"/>
      <c r="D619" s="4" t="s">
        <v>11</v>
      </c>
      <c r="E619" s="2">
        <v>113.00626</v>
      </c>
      <c r="F619" s="29"/>
      <c r="G619" s="38"/>
      <c r="H619" s="2">
        <v>17.967120000000001</v>
      </c>
      <c r="I619" s="29"/>
      <c r="J619" s="38"/>
      <c r="L619" s="17"/>
      <c r="M619" s="18"/>
      <c r="N619" s="17"/>
      <c r="O619" s="11"/>
      <c r="P619" s="20"/>
      <c r="Q619" s="23"/>
      <c r="R619" s="24"/>
      <c r="S619" s="12"/>
      <c r="T619" s="17"/>
      <c r="U619" s="19"/>
      <c r="V619" s="13"/>
    </row>
    <row r="620" spans="1:22" ht="16" x14ac:dyDescent="0.2">
      <c r="A620" s="31"/>
      <c r="B620" s="33"/>
      <c r="C620" s="26">
        <v>4</v>
      </c>
      <c r="D620" s="4" t="s">
        <v>7</v>
      </c>
      <c r="E620" s="2">
        <v>166.79092</v>
      </c>
      <c r="F620" s="27">
        <f t="shared" ref="F620" si="550">AVERAGE(E620:E624)</f>
        <v>168.313108</v>
      </c>
      <c r="G620" s="38"/>
      <c r="H620" s="2">
        <v>22.617109999999997</v>
      </c>
      <c r="I620" s="27">
        <f t="shared" ref="I620" si="551">AVERAGE(H620:H624)</f>
        <v>19.779354000000001</v>
      </c>
      <c r="J620" s="38"/>
      <c r="L620" s="17"/>
      <c r="M620" s="18"/>
      <c r="N620" s="17"/>
      <c r="O620" s="11"/>
      <c r="P620" s="20"/>
      <c r="Q620" s="23"/>
      <c r="R620" s="24"/>
      <c r="S620" s="12"/>
      <c r="T620" s="17"/>
      <c r="U620" s="19"/>
      <c r="V620" s="13"/>
    </row>
    <row r="621" spans="1:22" ht="16" x14ac:dyDescent="0.2">
      <c r="A621" s="31"/>
      <c r="B621" s="33"/>
      <c r="C621" s="26"/>
      <c r="D621" s="4" t="s">
        <v>8</v>
      </c>
      <c r="E621" s="2">
        <v>158.31267</v>
      </c>
      <c r="F621" s="28"/>
      <c r="G621" s="38"/>
      <c r="H621" s="2">
        <v>22.35772</v>
      </c>
      <c r="I621" s="28"/>
      <c r="J621" s="38"/>
      <c r="L621" s="17"/>
      <c r="M621" s="18"/>
      <c r="N621" s="17"/>
      <c r="O621" s="11"/>
      <c r="P621" s="20"/>
      <c r="Q621" s="23"/>
      <c r="R621" s="24"/>
      <c r="S621" s="12"/>
      <c r="T621" s="17"/>
      <c r="U621" s="19"/>
      <c r="V621" s="13"/>
    </row>
    <row r="622" spans="1:22" ht="16" x14ac:dyDescent="0.2">
      <c r="A622" s="31"/>
      <c r="B622" s="33"/>
      <c r="C622" s="26"/>
      <c r="D622" s="4" t="s">
        <v>9</v>
      </c>
      <c r="E622" s="2">
        <v>172.33126000000001</v>
      </c>
      <c r="F622" s="28"/>
      <c r="G622" s="38"/>
      <c r="H622" s="2">
        <v>18.748900000000003</v>
      </c>
      <c r="I622" s="28"/>
      <c r="J622" s="38"/>
      <c r="L622" s="17"/>
      <c r="M622" s="18"/>
      <c r="N622" s="17"/>
      <c r="O622" s="11"/>
      <c r="P622" s="20"/>
      <c r="Q622" s="23"/>
      <c r="R622" s="24"/>
      <c r="S622" s="12"/>
      <c r="T622" s="17"/>
      <c r="U622" s="19"/>
      <c r="V622" s="13"/>
    </row>
    <row r="623" spans="1:22" ht="16" x14ac:dyDescent="0.2">
      <c r="A623" s="31"/>
      <c r="B623" s="33"/>
      <c r="C623" s="26"/>
      <c r="D623" s="4" t="s">
        <v>10</v>
      </c>
      <c r="E623" s="2">
        <v>172.98758999999998</v>
      </c>
      <c r="F623" s="28"/>
      <c r="G623" s="38"/>
      <c r="H623" s="2">
        <v>17.35802</v>
      </c>
      <c r="I623" s="28"/>
      <c r="J623" s="38"/>
      <c r="L623" s="17"/>
      <c r="M623" s="18"/>
      <c r="N623" s="17"/>
      <c r="O623" s="11"/>
      <c r="P623" s="20"/>
      <c r="Q623" s="23"/>
      <c r="R623" s="24"/>
      <c r="S623" s="12"/>
      <c r="T623" s="17"/>
      <c r="U623" s="19"/>
      <c r="V623" s="13"/>
    </row>
    <row r="624" spans="1:22" ht="16" x14ac:dyDescent="0.2">
      <c r="A624" s="31"/>
      <c r="B624" s="33"/>
      <c r="C624" s="26"/>
      <c r="D624" s="4" t="s">
        <v>11</v>
      </c>
      <c r="E624" s="2">
        <v>171.1431</v>
      </c>
      <c r="F624" s="29"/>
      <c r="G624" s="38"/>
      <c r="H624" s="2">
        <v>17.815020000000001</v>
      </c>
      <c r="I624" s="29"/>
      <c r="J624" s="38"/>
      <c r="L624" s="17"/>
      <c r="M624" s="18"/>
      <c r="N624" s="17"/>
      <c r="O624" s="11"/>
      <c r="P624" s="20"/>
      <c r="Q624" s="23"/>
      <c r="R624" s="24"/>
      <c r="S624" s="12"/>
      <c r="T624" s="17"/>
      <c r="U624" s="19"/>
      <c r="V624" s="13"/>
    </row>
    <row r="625" spans="1:22" ht="16" x14ac:dyDescent="0.2">
      <c r="A625" s="31"/>
      <c r="B625" s="33"/>
      <c r="C625" s="26">
        <v>5</v>
      </c>
      <c r="D625" s="4" t="s">
        <v>7</v>
      </c>
      <c r="E625" s="2">
        <v>168.17534000000001</v>
      </c>
      <c r="F625" s="27">
        <f t="shared" ref="F625" si="552">AVERAGE(E625:E629)</f>
        <v>143.51156799999998</v>
      </c>
      <c r="G625" s="38"/>
      <c r="H625" s="2">
        <v>18.952400000000001</v>
      </c>
      <c r="I625" s="27">
        <f t="shared" ref="I625" si="553">AVERAGE(H625:H629)</f>
        <v>21.837262000000003</v>
      </c>
      <c r="J625" s="38"/>
      <c r="L625" s="17"/>
      <c r="M625" s="18"/>
      <c r="N625" s="17"/>
      <c r="O625" s="11"/>
      <c r="P625" s="20"/>
      <c r="Q625" s="23"/>
      <c r="R625" s="24"/>
      <c r="S625" s="12"/>
      <c r="T625" s="17"/>
      <c r="U625" s="19"/>
      <c r="V625" s="13"/>
    </row>
    <row r="626" spans="1:22" ht="16" x14ac:dyDescent="0.2">
      <c r="A626" s="31"/>
      <c r="B626" s="33"/>
      <c r="C626" s="26"/>
      <c r="D626" s="4" t="s">
        <v>8</v>
      </c>
      <c r="E626" s="2">
        <v>140.66897</v>
      </c>
      <c r="F626" s="28"/>
      <c r="G626" s="38"/>
      <c r="H626" s="2">
        <v>18.136969999999998</v>
      </c>
      <c r="I626" s="28"/>
      <c r="J626" s="38"/>
      <c r="L626" s="17"/>
      <c r="M626" s="18"/>
      <c r="N626" s="17"/>
      <c r="O626" s="11"/>
      <c r="P626" s="20"/>
      <c r="Q626" s="23"/>
      <c r="R626" s="24"/>
      <c r="S626" s="12"/>
      <c r="T626" s="17"/>
      <c r="U626" s="19"/>
      <c r="V626" s="13"/>
    </row>
    <row r="627" spans="1:22" ht="16" x14ac:dyDescent="0.2">
      <c r="A627" s="31"/>
      <c r="B627" s="33"/>
      <c r="C627" s="26"/>
      <c r="D627" s="4" t="s">
        <v>9</v>
      </c>
      <c r="E627" s="2">
        <v>154.04399000000001</v>
      </c>
      <c r="F627" s="28"/>
      <c r="G627" s="38"/>
      <c r="H627" s="2">
        <v>25.470549999999999</v>
      </c>
      <c r="I627" s="28"/>
      <c r="J627" s="38"/>
      <c r="L627" s="17"/>
      <c r="M627" s="18"/>
      <c r="N627" s="17"/>
      <c r="O627" s="11"/>
      <c r="P627" s="20"/>
      <c r="Q627" s="23"/>
      <c r="R627" s="24"/>
      <c r="S627" s="12"/>
      <c r="T627" s="17"/>
      <c r="U627" s="19"/>
      <c r="V627" s="13"/>
    </row>
    <row r="628" spans="1:22" ht="16" x14ac:dyDescent="0.2">
      <c r="A628" s="31"/>
      <c r="B628" s="33"/>
      <c r="C628" s="26"/>
      <c r="D628" s="4" t="s">
        <v>10</v>
      </c>
      <c r="E628" s="2">
        <v>120.38305</v>
      </c>
      <c r="F628" s="28"/>
      <c r="G628" s="38"/>
      <c r="H628" s="2">
        <v>27.279119999999999</v>
      </c>
      <c r="I628" s="28"/>
      <c r="J628" s="38"/>
      <c r="L628" s="17"/>
      <c r="M628" s="18"/>
      <c r="N628" s="17"/>
      <c r="O628" s="11"/>
      <c r="P628" s="20"/>
      <c r="Q628" s="23"/>
      <c r="R628" s="24"/>
      <c r="S628" s="12"/>
      <c r="T628" s="17"/>
      <c r="U628" s="19"/>
      <c r="V628" s="13"/>
    </row>
    <row r="629" spans="1:22" ht="16" x14ac:dyDescent="0.2">
      <c r="A629" s="31"/>
      <c r="B629" s="33"/>
      <c r="C629" s="26"/>
      <c r="D629" s="4" t="s">
        <v>11</v>
      </c>
      <c r="E629" s="2">
        <v>134.28648999999999</v>
      </c>
      <c r="F629" s="29"/>
      <c r="G629" s="39"/>
      <c r="H629" s="2">
        <v>19.347270000000002</v>
      </c>
      <c r="I629" s="29"/>
      <c r="J629" s="39"/>
      <c r="L629" s="17"/>
      <c r="M629" s="18"/>
      <c r="N629" s="17"/>
      <c r="O629" s="11"/>
      <c r="P629" s="20"/>
      <c r="Q629" s="23"/>
      <c r="R629" s="24"/>
      <c r="S629" s="12"/>
      <c r="T629" s="17"/>
      <c r="U629" s="19"/>
      <c r="V629" s="13"/>
    </row>
    <row r="630" spans="1:22" ht="16" x14ac:dyDescent="0.2">
      <c r="A630" s="31"/>
      <c r="B630" s="26">
        <v>2</v>
      </c>
      <c r="C630" s="26">
        <v>1</v>
      </c>
      <c r="D630" s="4" t="s">
        <v>7</v>
      </c>
      <c r="E630" s="2">
        <v>166.83791000000002</v>
      </c>
      <c r="F630" s="27">
        <f t="shared" ref="F630" si="554">AVERAGE(E630:E634)</f>
        <v>152.00043399999998</v>
      </c>
      <c r="G630" s="37">
        <f>AVERAGE(F630:F654)</f>
        <v>139.89603400000001</v>
      </c>
      <c r="H630" s="2">
        <v>22.90419</v>
      </c>
      <c r="I630" s="27">
        <f t="shared" ref="I630" si="555">AVERAGE(H630:H634)</f>
        <v>24.373967999999998</v>
      </c>
      <c r="J630" s="37">
        <f t="shared" ref="J630" si="556">AVERAGE(I630:I654)</f>
        <v>23.280367999999999</v>
      </c>
      <c r="L630" s="17"/>
      <c r="M630" s="18"/>
      <c r="N630" s="17"/>
      <c r="O630" s="11"/>
      <c r="P630" s="20"/>
      <c r="Q630" s="23"/>
      <c r="R630" s="24"/>
      <c r="S630" s="12"/>
      <c r="T630" s="17"/>
      <c r="U630" s="19"/>
      <c r="V630" s="13"/>
    </row>
    <row r="631" spans="1:22" ht="16" x14ac:dyDescent="0.2">
      <c r="A631" s="31"/>
      <c r="B631" s="26"/>
      <c r="C631" s="26"/>
      <c r="D631" s="4" t="s">
        <v>8</v>
      </c>
      <c r="E631" s="2">
        <v>108.02285000000001</v>
      </c>
      <c r="F631" s="28"/>
      <c r="G631" s="38"/>
      <c r="H631" s="2">
        <v>28.952420000000004</v>
      </c>
      <c r="I631" s="28"/>
      <c r="J631" s="38"/>
      <c r="L631" s="17"/>
      <c r="M631" s="18"/>
      <c r="N631" s="17"/>
      <c r="O631" s="11"/>
      <c r="P631" s="20"/>
      <c r="Q631" s="23"/>
      <c r="R631" s="24"/>
      <c r="S631" s="12"/>
      <c r="T631" s="17"/>
      <c r="U631" s="19"/>
      <c r="V631" s="13"/>
    </row>
    <row r="632" spans="1:22" ht="16" x14ac:dyDescent="0.2">
      <c r="A632" s="31"/>
      <c r="B632" s="26"/>
      <c r="C632" s="26"/>
      <c r="D632" s="4" t="s">
        <v>9</v>
      </c>
      <c r="E632" s="2">
        <v>81.855620000000002</v>
      </c>
      <c r="F632" s="28"/>
      <c r="G632" s="38"/>
      <c r="H632" s="2">
        <v>23.058539999999997</v>
      </c>
      <c r="I632" s="28"/>
      <c r="J632" s="38"/>
      <c r="L632" s="17"/>
      <c r="M632" s="18"/>
      <c r="N632" s="17"/>
      <c r="O632" s="11"/>
      <c r="P632" s="20"/>
      <c r="Q632" s="23"/>
      <c r="R632" s="24"/>
      <c r="S632" s="12"/>
      <c r="T632" s="17"/>
      <c r="U632" s="19"/>
      <c r="V632" s="13"/>
    </row>
    <row r="633" spans="1:22" ht="16" x14ac:dyDescent="0.2">
      <c r="A633" s="31"/>
      <c r="B633" s="26"/>
      <c r="C633" s="26"/>
      <c r="D633" s="4" t="s">
        <v>10</v>
      </c>
      <c r="E633" s="2">
        <v>149.68604999999999</v>
      </c>
      <c r="F633" s="28"/>
      <c r="G633" s="38"/>
      <c r="H633" s="2">
        <v>26.629670000000001</v>
      </c>
      <c r="I633" s="28"/>
      <c r="J633" s="38"/>
      <c r="L633" s="17"/>
      <c r="M633" s="18"/>
      <c r="N633" s="17"/>
      <c r="O633" s="11"/>
      <c r="P633" s="20"/>
      <c r="Q633" s="23"/>
      <c r="R633" s="24"/>
      <c r="S633" s="12"/>
      <c r="T633" s="17"/>
      <c r="U633" s="19"/>
      <c r="V633" s="13"/>
    </row>
    <row r="634" spans="1:22" ht="16" x14ac:dyDescent="0.2">
      <c r="A634" s="31"/>
      <c r="B634" s="26"/>
      <c r="C634" s="26"/>
      <c r="D634" s="4" t="s">
        <v>11</v>
      </c>
      <c r="E634" s="2">
        <v>253.59974</v>
      </c>
      <c r="F634" s="29"/>
      <c r="G634" s="38"/>
      <c r="H634" s="2">
        <v>20.325019999999999</v>
      </c>
      <c r="I634" s="29"/>
      <c r="J634" s="38"/>
      <c r="L634" s="17"/>
      <c r="M634" s="18"/>
      <c r="N634" s="17"/>
      <c r="O634" s="11"/>
      <c r="P634" s="20"/>
      <c r="Q634" s="23"/>
      <c r="R634" s="24"/>
      <c r="S634" s="12"/>
      <c r="T634" s="17"/>
      <c r="U634" s="19"/>
      <c r="V634" s="13"/>
    </row>
    <row r="635" spans="1:22" ht="16" x14ac:dyDescent="0.2">
      <c r="A635" s="31"/>
      <c r="B635" s="26"/>
      <c r="C635" s="26">
        <v>2</v>
      </c>
      <c r="D635" s="4" t="s">
        <v>7</v>
      </c>
      <c r="E635" s="2">
        <v>146.83790999999999</v>
      </c>
      <c r="F635" s="27">
        <f t="shared" ref="F635" si="557">AVERAGE(E635:E639)</f>
        <v>135.46043399999999</v>
      </c>
      <c r="G635" s="38"/>
      <c r="H635" s="2">
        <v>22.90419</v>
      </c>
      <c r="I635" s="27">
        <f t="shared" ref="I635" si="558">AVERAGE(H635:H639)</f>
        <v>23.393967999999997</v>
      </c>
      <c r="J635" s="38"/>
      <c r="L635" s="17"/>
      <c r="M635" s="18"/>
      <c r="N635" s="17"/>
      <c r="O635" s="11"/>
      <c r="P635" s="20"/>
      <c r="Q635" s="23"/>
      <c r="R635" s="24"/>
      <c r="S635" s="12"/>
      <c r="T635" s="17"/>
      <c r="U635" s="19"/>
      <c r="V635" s="13"/>
    </row>
    <row r="636" spans="1:22" ht="16" x14ac:dyDescent="0.2">
      <c r="A636" s="31"/>
      <c r="B636" s="26"/>
      <c r="C636" s="26"/>
      <c r="D636" s="4" t="s">
        <v>8</v>
      </c>
      <c r="E636" s="2">
        <v>105.32285</v>
      </c>
      <c r="F636" s="28"/>
      <c r="G636" s="38"/>
      <c r="H636" s="2">
        <v>25.952420000000004</v>
      </c>
      <c r="I636" s="28"/>
      <c r="J636" s="38"/>
      <c r="L636" s="17"/>
      <c r="M636" s="18"/>
      <c r="N636" s="17"/>
      <c r="O636" s="11"/>
      <c r="P636" s="20"/>
      <c r="Q636" s="23"/>
      <c r="R636" s="24"/>
      <c r="S636" s="12"/>
      <c r="T636" s="17"/>
      <c r="U636" s="19"/>
      <c r="V636" s="13"/>
    </row>
    <row r="637" spans="1:22" ht="16" x14ac:dyDescent="0.2">
      <c r="A637" s="31"/>
      <c r="B637" s="26"/>
      <c r="C637" s="26"/>
      <c r="D637" s="4" t="s">
        <v>9</v>
      </c>
      <c r="E637" s="2">
        <v>81.855620000000002</v>
      </c>
      <c r="F637" s="28"/>
      <c r="G637" s="38"/>
      <c r="H637" s="2">
        <v>23.058539999999997</v>
      </c>
      <c r="I637" s="28"/>
      <c r="J637" s="38"/>
      <c r="L637" s="17"/>
      <c r="M637" s="18"/>
      <c r="N637" s="17"/>
      <c r="O637" s="11"/>
      <c r="P637" s="20"/>
      <c r="Q637" s="23"/>
      <c r="R637" s="24"/>
      <c r="S637" s="12"/>
      <c r="T637" s="17"/>
      <c r="U637" s="19"/>
      <c r="V637" s="13"/>
    </row>
    <row r="638" spans="1:22" ht="16" x14ac:dyDescent="0.2">
      <c r="A638" s="31"/>
      <c r="B638" s="26"/>
      <c r="C638" s="26"/>
      <c r="D638" s="4" t="s">
        <v>10</v>
      </c>
      <c r="E638" s="2">
        <v>129.68604999999999</v>
      </c>
      <c r="F638" s="28"/>
      <c r="G638" s="38"/>
      <c r="H638" s="2">
        <v>25.729670000000002</v>
      </c>
      <c r="I638" s="28"/>
      <c r="J638" s="38"/>
      <c r="L638" s="17"/>
      <c r="M638" s="18"/>
      <c r="N638" s="17"/>
      <c r="O638" s="11"/>
      <c r="P638" s="20"/>
      <c r="Q638" s="23"/>
      <c r="R638" s="24"/>
      <c r="S638" s="12"/>
      <c r="T638" s="17"/>
      <c r="U638" s="19"/>
      <c r="V638" s="13"/>
    </row>
    <row r="639" spans="1:22" ht="16" x14ac:dyDescent="0.2">
      <c r="A639" s="31"/>
      <c r="B639" s="26"/>
      <c r="C639" s="26"/>
      <c r="D639" s="4" t="s">
        <v>11</v>
      </c>
      <c r="E639" s="2">
        <v>213.59974</v>
      </c>
      <c r="F639" s="29"/>
      <c r="G639" s="38"/>
      <c r="H639" s="2">
        <v>19.325019999999999</v>
      </c>
      <c r="I639" s="29"/>
      <c r="J639" s="38"/>
      <c r="L639" s="17"/>
      <c r="M639" s="18"/>
      <c r="N639" s="17"/>
      <c r="O639" s="11"/>
      <c r="P639" s="20"/>
      <c r="Q639" s="23"/>
      <c r="R639" s="24"/>
      <c r="S639" s="12"/>
      <c r="T639" s="17"/>
      <c r="U639" s="19"/>
      <c r="V639" s="13"/>
    </row>
    <row r="640" spans="1:22" ht="16" x14ac:dyDescent="0.2">
      <c r="A640" s="31"/>
      <c r="B640" s="26"/>
      <c r="C640" s="26">
        <v>3</v>
      </c>
      <c r="D640" s="4" t="s">
        <v>7</v>
      </c>
      <c r="E640" s="2">
        <v>126.83790999999999</v>
      </c>
      <c r="F640" s="27">
        <f t="shared" ref="F640" si="559">AVERAGE(E640:E644)</f>
        <v>141.69843399999999</v>
      </c>
      <c r="G640" s="38"/>
      <c r="H640" s="2">
        <v>22.504189999999998</v>
      </c>
      <c r="I640" s="27">
        <f t="shared" ref="I640" si="560">AVERAGE(H640:H644)</f>
        <v>22.285968</v>
      </c>
      <c r="J640" s="38"/>
      <c r="L640" s="17"/>
      <c r="M640" s="18"/>
      <c r="N640" s="17"/>
      <c r="O640" s="11"/>
      <c r="P640" s="20"/>
      <c r="Q640" s="23"/>
      <c r="R640" s="24"/>
      <c r="S640" s="12"/>
      <c r="T640" s="17"/>
      <c r="U640" s="19"/>
      <c r="V640" s="13"/>
    </row>
    <row r="641" spans="1:22" ht="16" x14ac:dyDescent="0.2">
      <c r="A641" s="31"/>
      <c r="B641" s="26"/>
      <c r="C641" s="26"/>
      <c r="D641" s="4" t="s">
        <v>8</v>
      </c>
      <c r="E641" s="2">
        <v>108.02285000000001</v>
      </c>
      <c r="F641" s="28"/>
      <c r="G641" s="38"/>
      <c r="H641" s="2">
        <v>28.952420000000004</v>
      </c>
      <c r="I641" s="28"/>
      <c r="J641" s="38"/>
      <c r="L641" s="17"/>
      <c r="M641" s="18"/>
      <c r="N641" s="17"/>
      <c r="O641" s="11"/>
      <c r="P641" s="20"/>
      <c r="Q641" s="23"/>
      <c r="R641" s="24"/>
      <c r="S641" s="12"/>
      <c r="T641" s="17"/>
      <c r="U641" s="19"/>
      <c r="V641" s="13"/>
    </row>
    <row r="642" spans="1:22" ht="16" x14ac:dyDescent="0.2">
      <c r="A642" s="31"/>
      <c r="B642" s="26"/>
      <c r="C642" s="26"/>
      <c r="D642" s="4" t="s">
        <v>9</v>
      </c>
      <c r="E642" s="2">
        <v>81.745620000000002</v>
      </c>
      <c r="F642" s="28"/>
      <c r="G642" s="38"/>
      <c r="H642" s="2">
        <v>22.258539999999996</v>
      </c>
      <c r="I642" s="28"/>
      <c r="J642" s="38"/>
      <c r="L642" s="17"/>
      <c r="M642" s="18"/>
      <c r="N642" s="17"/>
      <c r="O642" s="11"/>
      <c r="P642" s="20"/>
      <c r="Q642" s="23"/>
      <c r="R642" s="24"/>
      <c r="S642" s="12"/>
      <c r="T642" s="17"/>
      <c r="U642" s="19"/>
      <c r="V642" s="13"/>
    </row>
    <row r="643" spans="1:22" ht="16" x14ac:dyDescent="0.2">
      <c r="A643" s="31"/>
      <c r="B643" s="26"/>
      <c r="C643" s="26"/>
      <c r="D643" s="4" t="s">
        <v>10</v>
      </c>
      <c r="E643" s="2">
        <v>149.68604999999999</v>
      </c>
      <c r="F643" s="28"/>
      <c r="G643" s="38"/>
      <c r="H643" s="2">
        <v>18.629670000000001</v>
      </c>
      <c r="I643" s="28"/>
      <c r="J643" s="38"/>
      <c r="L643" s="17"/>
      <c r="M643" s="18"/>
      <c r="N643" s="17"/>
      <c r="O643" s="11"/>
      <c r="P643" s="20"/>
      <c r="Q643" s="23"/>
      <c r="R643" s="24"/>
      <c r="S643" s="12"/>
      <c r="T643" s="17"/>
      <c r="U643" s="19"/>
      <c r="V643" s="13"/>
    </row>
    <row r="644" spans="1:22" ht="16" x14ac:dyDescent="0.2">
      <c r="A644" s="31"/>
      <c r="B644" s="26"/>
      <c r="C644" s="26"/>
      <c r="D644" s="4" t="s">
        <v>11</v>
      </c>
      <c r="E644" s="2">
        <v>242.19973999999999</v>
      </c>
      <c r="F644" s="29"/>
      <c r="G644" s="38"/>
      <c r="H644" s="2">
        <v>19.08502</v>
      </c>
      <c r="I644" s="29"/>
      <c r="J644" s="38"/>
      <c r="L644" s="17"/>
      <c r="M644" s="18"/>
      <c r="N644" s="17"/>
      <c r="O644" s="11"/>
      <c r="P644" s="20"/>
      <c r="Q644" s="23"/>
      <c r="R644" s="24"/>
      <c r="S644" s="12"/>
      <c r="T644" s="17"/>
      <c r="U644" s="19"/>
      <c r="V644" s="13"/>
    </row>
    <row r="645" spans="1:22" ht="16" x14ac:dyDescent="0.2">
      <c r="A645" s="31"/>
      <c r="B645" s="26"/>
      <c r="C645" s="26">
        <v>4</v>
      </c>
      <c r="D645" s="4" t="s">
        <v>7</v>
      </c>
      <c r="E645" s="2">
        <v>136.43790999999999</v>
      </c>
      <c r="F645" s="27">
        <f t="shared" ref="F645" si="561">AVERAGE(E645:E649)</f>
        <v>129.920434</v>
      </c>
      <c r="G645" s="38"/>
      <c r="H645" s="2">
        <v>12.904190000000002</v>
      </c>
      <c r="I645" s="27">
        <f t="shared" ref="I645" si="562">AVERAGE(H645:H649)</f>
        <v>22.173967999999999</v>
      </c>
      <c r="J645" s="38"/>
      <c r="L645" s="17"/>
      <c r="M645" s="18"/>
      <c r="N645" s="17"/>
      <c r="O645" s="11"/>
      <c r="P645" s="20"/>
      <c r="Q645" s="23"/>
      <c r="R645" s="24"/>
      <c r="S645" s="12"/>
      <c r="T645" s="17"/>
      <c r="U645" s="19"/>
      <c r="V645" s="13"/>
    </row>
    <row r="646" spans="1:22" ht="16" x14ac:dyDescent="0.2">
      <c r="A646" s="31"/>
      <c r="B646" s="26"/>
      <c r="C646" s="26"/>
      <c r="D646" s="4" t="s">
        <v>8</v>
      </c>
      <c r="E646" s="2">
        <v>118.02285000000001</v>
      </c>
      <c r="F646" s="28"/>
      <c r="G646" s="38"/>
      <c r="H646" s="2">
        <v>18.95242</v>
      </c>
      <c r="I646" s="28"/>
      <c r="J646" s="38"/>
      <c r="L646" s="17"/>
      <c r="M646" s="18"/>
      <c r="N646" s="17"/>
      <c r="O646" s="11"/>
      <c r="P646" s="20"/>
      <c r="Q646" s="23"/>
      <c r="R646" s="24"/>
      <c r="S646" s="12"/>
      <c r="T646" s="17"/>
      <c r="U646" s="19"/>
      <c r="V646" s="13"/>
    </row>
    <row r="647" spans="1:22" ht="16" x14ac:dyDescent="0.2">
      <c r="A647" s="31"/>
      <c r="B647" s="26"/>
      <c r="C647" s="26"/>
      <c r="D647" s="4" t="s">
        <v>9</v>
      </c>
      <c r="E647" s="2">
        <v>81.855620000000002</v>
      </c>
      <c r="F647" s="28"/>
      <c r="G647" s="38"/>
      <c r="H647" s="2">
        <v>23.058539999999997</v>
      </c>
      <c r="I647" s="28"/>
      <c r="J647" s="38"/>
      <c r="L647" s="17"/>
      <c r="M647" s="18"/>
      <c r="N647" s="17"/>
      <c r="O647" s="11"/>
      <c r="P647" s="20"/>
      <c r="Q647" s="23"/>
      <c r="R647" s="24"/>
      <c r="S647" s="12"/>
      <c r="T647" s="17"/>
      <c r="U647" s="19"/>
      <c r="V647" s="13"/>
    </row>
    <row r="648" spans="1:22" ht="16" x14ac:dyDescent="0.2">
      <c r="A648" s="31"/>
      <c r="B648" s="26"/>
      <c r="C648" s="26"/>
      <c r="D648" s="4" t="s">
        <v>10</v>
      </c>
      <c r="E648" s="2">
        <v>109.68604999999999</v>
      </c>
      <c r="F648" s="28"/>
      <c r="G648" s="38"/>
      <c r="H648" s="2">
        <v>26.629670000000001</v>
      </c>
      <c r="I648" s="28"/>
      <c r="J648" s="38"/>
      <c r="L648" s="17"/>
      <c r="M648" s="18"/>
      <c r="N648" s="17"/>
      <c r="O648" s="11"/>
      <c r="P648" s="20"/>
      <c r="Q648" s="23"/>
      <c r="R648" s="24"/>
      <c r="S648" s="12"/>
      <c r="T648" s="17"/>
      <c r="U648" s="19"/>
      <c r="V648" s="13"/>
    </row>
    <row r="649" spans="1:22" ht="16" x14ac:dyDescent="0.2">
      <c r="A649" s="31"/>
      <c r="B649" s="26"/>
      <c r="C649" s="26"/>
      <c r="D649" s="4" t="s">
        <v>11</v>
      </c>
      <c r="E649" s="2">
        <v>203.59974</v>
      </c>
      <c r="F649" s="29"/>
      <c r="G649" s="38"/>
      <c r="H649" s="2">
        <v>29.325019999999999</v>
      </c>
      <c r="I649" s="29"/>
      <c r="J649" s="38"/>
      <c r="L649" s="17"/>
      <c r="M649" s="18"/>
      <c r="N649" s="17"/>
      <c r="O649" s="11"/>
      <c r="P649" s="20"/>
      <c r="Q649" s="23"/>
      <c r="R649" s="24"/>
      <c r="S649" s="12"/>
      <c r="T649" s="17"/>
      <c r="U649" s="19"/>
      <c r="V649" s="13"/>
    </row>
    <row r="650" spans="1:22" ht="16" x14ac:dyDescent="0.2">
      <c r="A650" s="31"/>
      <c r="B650" s="26"/>
      <c r="C650" s="26">
        <v>5</v>
      </c>
      <c r="D650" s="4" t="s">
        <v>7</v>
      </c>
      <c r="E650" s="2">
        <v>144.83790999999999</v>
      </c>
      <c r="F650" s="27">
        <f t="shared" ref="F650" si="563">AVERAGE(E650:E654)</f>
        <v>140.40043399999999</v>
      </c>
      <c r="G650" s="38"/>
      <c r="H650" s="2">
        <v>22.90419</v>
      </c>
      <c r="I650" s="27">
        <f t="shared" ref="I650" si="564">AVERAGE(H650:H654)</f>
        <v>24.173967999999999</v>
      </c>
      <c r="J650" s="38"/>
      <c r="L650" s="17"/>
      <c r="M650" s="18"/>
      <c r="N650" s="17"/>
      <c r="O650" s="11"/>
      <c r="P650" s="20"/>
      <c r="Q650" s="23"/>
      <c r="R650" s="24"/>
      <c r="S650" s="12"/>
      <c r="T650" s="17"/>
      <c r="U650" s="19"/>
      <c r="V650" s="13"/>
    </row>
    <row r="651" spans="1:22" ht="16" x14ac:dyDescent="0.2">
      <c r="A651" s="31"/>
      <c r="B651" s="26"/>
      <c r="C651" s="26"/>
      <c r="D651" s="4" t="s">
        <v>8</v>
      </c>
      <c r="E651" s="2">
        <v>108.02285000000001</v>
      </c>
      <c r="F651" s="28"/>
      <c r="G651" s="38"/>
      <c r="H651" s="2">
        <v>28.952420000000004</v>
      </c>
      <c r="I651" s="28"/>
      <c r="J651" s="38"/>
      <c r="L651" s="17"/>
      <c r="M651" s="18"/>
      <c r="N651" s="17"/>
      <c r="O651" s="11"/>
      <c r="P651" s="20"/>
      <c r="Q651" s="23"/>
      <c r="R651" s="24"/>
      <c r="S651" s="12"/>
      <c r="T651" s="17"/>
      <c r="U651" s="19"/>
      <c r="V651" s="13"/>
    </row>
    <row r="652" spans="1:22" ht="16" x14ac:dyDescent="0.2">
      <c r="A652" s="31"/>
      <c r="B652" s="26"/>
      <c r="C652" s="26"/>
      <c r="D652" s="4" t="s">
        <v>9</v>
      </c>
      <c r="E652" s="2">
        <v>71.855620000000002</v>
      </c>
      <c r="F652" s="28"/>
      <c r="G652" s="38"/>
      <c r="H652" s="2">
        <v>23.058539999999997</v>
      </c>
      <c r="I652" s="28"/>
      <c r="J652" s="38"/>
      <c r="L652" s="17"/>
      <c r="M652" s="18"/>
      <c r="N652" s="17"/>
      <c r="O652" s="11"/>
      <c r="P652" s="20"/>
      <c r="Q652" s="23"/>
      <c r="R652" s="24"/>
      <c r="S652" s="12"/>
      <c r="T652" s="17"/>
      <c r="U652" s="19"/>
      <c r="V652" s="13"/>
    </row>
    <row r="653" spans="1:22" ht="16" x14ac:dyDescent="0.2">
      <c r="A653" s="31"/>
      <c r="B653" s="26"/>
      <c r="C653" s="26"/>
      <c r="D653" s="4" t="s">
        <v>10</v>
      </c>
      <c r="E653" s="2">
        <v>138.68604999999999</v>
      </c>
      <c r="F653" s="28"/>
      <c r="G653" s="38"/>
      <c r="H653" s="2">
        <v>26.629670000000001</v>
      </c>
      <c r="I653" s="28"/>
      <c r="J653" s="38"/>
      <c r="L653" s="17"/>
      <c r="M653" s="18"/>
      <c r="N653" s="17"/>
      <c r="O653" s="11"/>
      <c r="P653" s="20"/>
      <c r="Q653" s="23"/>
      <c r="R653" s="24"/>
      <c r="S653" s="12"/>
      <c r="T653" s="17"/>
      <c r="U653" s="19"/>
      <c r="V653" s="13"/>
    </row>
    <row r="654" spans="1:22" ht="16" x14ac:dyDescent="0.2">
      <c r="A654" s="31"/>
      <c r="B654" s="26"/>
      <c r="C654" s="26"/>
      <c r="D654" s="4" t="s">
        <v>11</v>
      </c>
      <c r="E654" s="2">
        <v>238.59974</v>
      </c>
      <c r="F654" s="29"/>
      <c r="G654" s="39"/>
      <c r="H654" s="2">
        <v>19.325019999999999</v>
      </c>
      <c r="I654" s="29"/>
      <c r="J654" s="39"/>
      <c r="L654" s="17"/>
      <c r="M654" s="18"/>
      <c r="N654" s="17"/>
      <c r="O654" s="11"/>
      <c r="P654" s="20"/>
      <c r="Q654" s="23"/>
      <c r="R654" s="24"/>
      <c r="S654" s="12"/>
      <c r="T654" s="17"/>
      <c r="U654" s="19"/>
      <c r="V654" s="13"/>
    </row>
    <row r="655" spans="1:22" ht="16" x14ac:dyDescent="0.2">
      <c r="A655" s="31"/>
      <c r="B655" s="33">
        <v>3</v>
      </c>
      <c r="C655" s="26">
        <v>1</v>
      </c>
      <c r="D655" s="4" t="s">
        <v>7</v>
      </c>
      <c r="E655" s="2">
        <v>136.14215999999999</v>
      </c>
      <c r="F655" s="27">
        <f t="shared" ref="F655" si="565">AVERAGE(E655:E659)</f>
        <v>128.06967399999999</v>
      </c>
      <c r="G655" s="37">
        <f>AVERAGE(F655:F679)</f>
        <v>137.51186239999998</v>
      </c>
      <c r="H655" s="2">
        <v>23.507559999999998</v>
      </c>
      <c r="I655" s="27">
        <f t="shared" ref="I655" si="566">AVERAGE(H655:H659)</f>
        <v>22.211144000000001</v>
      </c>
      <c r="J655" s="37">
        <f t="shared" ref="J655" si="567">AVERAGE(I655:I679)</f>
        <v>24.084818000000006</v>
      </c>
      <c r="L655" s="17"/>
      <c r="M655" s="18"/>
      <c r="N655" s="17"/>
      <c r="O655" s="11"/>
      <c r="P655" s="20"/>
      <c r="Q655" s="23"/>
      <c r="R655" s="24"/>
      <c r="S655" s="12"/>
      <c r="T655" s="17"/>
      <c r="U655" s="19"/>
      <c r="V655" s="13"/>
    </row>
    <row r="656" spans="1:22" ht="16" x14ac:dyDescent="0.2">
      <c r="A656" s="31"/>
      <c r="B656" s="33"/>
      <c r="C656" s="26"/>
      <c r="D656" s="4" t="s">
        <v>8</v>
      </c>
      <c r="E656" s="2">
        <v>107.85162</v>
      </c>
      <c r="F656" s="28"/>
      <c r="G656" s="38"/>
      <c r="H656" s="2">
        <v>19.3231</v>
      </c>
      <c r="I656" s="28"/>
      <c r="J656" s="38"/>
      <c r="L656" s="17"/>
      <c r="M656" s="18"/>
      <c r="N656" s="17"/>
      <c r="O656" s="11"/>
      <c r="P656" s="20"/>
      <c r="Q656" s="23"/>
      <c r="R656" s="24"/>
      <c r="S656" s="12"/>
      <c r="T656" s="17"/>
      <c r="U656" s="19"/>
      <c r="V656" s="13"/>
    </row>
    <row r="657" spans="1:22" ht="16" x14ac:dyDescent="0.2">
      <c r="A657" s="31"/>
      <c r="B657" s="33"/>
      <c r="C657" s="26"/>
      <c r="D657" s="4" t="s">
        <v>9</v>
      </c>
      <c r="E657" s="2">
        <v>143.06924000000001</v>
      </c>
      <c r="F657" s="28"/>
      <c r="G657" s="38"/>
      <c r="H657" s="2">
        <v>17.730979999999999</v>
      </c>
      <c r="I657" s="28"/>
      <c r="J657" s="38"/>
      <c r="L657" s="17"/>
      <c r="M657" s="18"/>
      <c r="N657" s="17"/>
      <c r="O657" s="11"/>
      <c r="P657" s="20"/>
      <c r="Q657" s="23"/>
      <c r="R657" s="24"/>
      <c r="S657" s="12"/>
      <c r="T657" s="17"/>
      <c r="U657" s="19"/>
      <c r="V657" s="13"/>
    </row>
    <row r="658" spans="1:22" ht="16" x14ac:dyDescent="0.2">
      <c r="A658" s="31"/>
      <c r="B658" s="33"/>
      <c r="C658" s="26"/>
      <c r="D658" s="4" t="s">
        <v>10</v>
      </c>
      <c r="E658" s="2">
        <v>123.86242</v>
      </c>
      <c r="F658" s="28"/>
      <c r="G658" s="38"/>
      <c r="H658" s="2">
        <v>23.663490000000003</v>
      </c>
      <c r="I658" s="28"/>
      <c r="J658" s="38"/>
      <c r="L658" s="17"/>
      <c r="M658" s="18"/>
      <c r="N658" s="17"/>
      <c r="O658" s="11"/>
      <c r="P658" s="20"/>
      <c r="Q658" s="23"/>
      <c r="R658" s="24"/>
      <c r="S658" s="12"/>
      <c r="T658" s="17"/>
      <c r="U658" s="19"/>
      <c r="V658" s="13"/>
    </row>
    <row r="659" spans="1:22" ht="16" x14ac:dyDescent="0.2">
      <c r="A659" s="31"/>
      <c r="B659" s="33"/>
      <c r="C659" s="26"/>
      <c r="D659" s="4" t="s">
        <v>11</v>
      </c>
      <c r="E659" s="2">
        <v>129.42293000000001</v>
      </c>
      <c r="F659" s="29"/>
      <c r="G659" s="38"/>
      <c r="H659" s="2">
        <v>26.830590000000001</v>
      </c>
      <c r="I659" s="29"/>
      <c r="J659" s="38"/>
      <c r="L659" s="17"/>
      <c r="M659" s="18"/>
      <c r="N659" s="17"/>
      <c r="O659" s="11"/>
      <c r="P659" s="20"/>
      <c r="Q659" s="23"/>
      <c r="R659" s="24"/>
      <c r="S659" s="12"/>
      <c r="T659" s="17"/>
      <c r="U659" s="19"/>
      <c r="V659" s="13"/>
    </row>
    <row r="660" spans="1:22" ht="16" x14ac:dyDescent="0.2">
      <c r="A660" s="31"/>
      <c r="B660" s="33"/>
      <c r="C660" s="26">
        <v>2</v>
      </c>
      <c r="D660" s="4" t="s">
        <v>7</v>
      </c>
      <c r="E660" s="2">
        <v>178.18893</v>
      </c>
      <c r="F660" s="27">
        <f t="shared" ref="F660" si="568">AVERAGE(E660:E664)</f>
        <v>137.77318399999999</v>
      </c>
      <c r="G660" s="38"/>
      <c r="H660" s="2">
        <v>27.059239999999999</v>
      </c>
      <c r="I660" s="27">
        <f t="shared" ref="I660" si="569">AVERAGE(H660:H664)</f>
        <v>20.36721</v>
      </c>
      <c r="J660" s="38"/>
      <c r="L660" s="17"/>
      <c r="M660" s="18"/>
      <c r="N660" s="17"/>
      <c r="O660" s="11"/>
      <c r="P660" s="20"/>
      <c r="Q660" s="23"/>
      <c r="R660" s="24"/>
      <c r="S660" s="12"/>
      <c r="T660" s="17"/>
      <c r="U660" s="19"/>
      <c r="V660" s="13"/>
    </row>
    <row r="661" spans="1:22" ht="16" x14ac:dyDescent="0.2">
      <c r="A661" s="31"/>
      <c r="B661" s="33"/>
      <c r="C661" s="26"/>
      <c r="D661" s="4" t="s">
        <v>8</v>
      </c>
      <c r="E661" s="2">
        <v>127.94751000000001</v>
      </c>
      <c r="F661" s="28"/>
      <c r="G661" s="38"/>
      <c r="H661" s="2">
        <v>16.837339999999998</v>
      </c>
      <c r="I661" s="28"/>
      <c r="J661" s="38"/>
      <c r="L661" s="17"/>
      <c r="M661" s="18"/>
      <c r="N661" s="17"/>
      <c r="O661" s="11"/>
      <c r="P661" s="20"/>
      <c r="Q661" s="23"/>
      <c r="R661" s="24"/>
      <c r="S661" s="12"/>
      <c r="T661" s="17"/>
      <c r="U661" s="19"/>
      <c r="V661" s="13"/>
    </row>
    <row r="662" spans="1:22" ht="16" x14ac:dyDescent="0.2">
      <c r="A662" s="31"/>
      <c r="B662" s="33"/>
      <c r="C662" s="26"/>
      <c r="D662" s="4" t="s">
        <v>9</v>
      </c>
      <c r="E662" s="2">
        <v>157.38303999999999</v>
      </c>
      <c r="F662" s="28"/>
      <c r="G662" s="38"/>
      <c r="H662" s="2">
        <v>22.005230000000001</v>
      </c>
      <c r="I662" s="28"/>
      <c r="J662" s="38"/>
      <c r="L662" s="17"/>
      <c r="M662" s="18"/>
      <c r="N662" s="17"/>
      <c r="O662" s="11"/>
      <c r="P662" s="20"/>
      <c r="Q662" s="23"/>
      <c r="R662" s="24"/>
      <c r="S662" s="12"/>
      <c r="T662" s="17"/>
      <c r="U662" s="19"/>
      <c r="V662" s="13"/>
    </row>
    <row r="663" spans="1:22" ht="16" x14ac:dyDescent="0.2">
      <c r="A663" s="31"/>
      <c r="B663" s="33"/>
      <c r="C663" s="26"/>
      <c r="D663" s="4" t="s">
        <v>10</v>
      </c>
      <c r="E663" s="2">
        <v>112.34018</v>
      </c>
      <c r="F663" s="28"/>
      <c r="G663" s="38"/>
      <c r="H663" s="2">
        <v>17.967120000000001</v>
      </c>
      <c r="I663" s="28"/>
      <c r="J663" s="38"/>
      <c r="L663" s="17"/>
      <c r="M663" s="18"/>
      <c r="N663" s="17"/>
      <c r="O663" s="11"/>
      <c r="P663" s="20"/>
      <c r="Q663" s="23"/>
      <c r="R663" s="24"/>
      <c r="S663" s="12"/>
      <c r="T663" s="17"/>
      <c r="U663" s="19"/>
      <c r="V663" s="13"/>
    </row>
    <row r="664" spans="1:22" ht="16" x14ac:dyDescent="0.2">
      <c r="A664" s="31"/>
      <c r="B664" s="33"/>
      <c r="C664" s="26"/>
      <c r="D664" s="4" t="s">
        <v>11</v>
      </c>
      <c r="E664" s="2">
        <v>113.00626</v>
      </c>
      <c r="F664" s="29"/>
      <c r="G664" s="38"/>
      <c r="H664" s="2">
        <v>17.967120000000001</v>
      </c>
      <c r="I664" s="29"/>
      <c r="J664" s="38"/>
      <c r="L664" s="17"/>
      <c r="M664" s="18"/>
      <c r="N664" s="17"/>
      <c r="O664" s="11"/>
      <c r="P664" s="20"/>
      <c r="Q664" s="23"/>
      <c r="R664" s="24"/>
      <c r="S664" s="12"/>
      <c r="T664" s="17"/>
      <c r="U664" s="19"/>
      <c r="V664" s="13"/>
    </row>
    <row r="665" spans="1:22" ht="16" x14ac:dyDescent="0.2">
      <c r="A665" s="31"/>
      <c r="B665" s="33"/>
      <c r="C665" s="26">
        <v>3</v>
      </c>
      <c r="D665" s="4" t="s">
        <v>7</v>
      </c>
      <c r="E665" s="2">
        <v>166.79092</v>
      </c>
      <c r="F665" s="27">
        <f t="shared" ref="F665" si="570">AVERAGE(E665:E669)</f>
        <v>168.313108</v>
      </c>
      <c r="G665" s="38"/>
      <c r="H665" s="2">
        <v>22.617109999999997</v>
      </c>
      <c r="I665" s="27">
        <f t="shared" ref="I665" si="571">AVERAGE(H665:H669)</f>
        <v>19.179354</v>
      </c>
      <c r="J665" s="38"/>
      <c r="L665" s="17"/>
      <c r="M665" s="18"/>
      <c r="N665" s="17"/>
      <c r="O665" s="11"/>
      <c r="P665" s="20"/>
      <c r="Q665" s="23"/>
      <c r="R665" s="24"/>
      <c r="S665" s="12"/>
      <c r="T665" s="17"/>
      <c r="U665" s="19"/>
      <c r="V665" s="13"/>
    </row>
    <row r="666" spans="1:22" ht="16" x14ac:dyDescent="0.2">
      <c r="A666" s="31"/>
      <c r="B666" s="33"/>
      <c r="C666" s="26"/>
      <c r="D666" s="4" t="s">
        <v>8</v>
      </c>
      <c r="E666" s="2">
        <v>158.31267</v>
      </c>
      <c r="F666" s="28"/>
      <c r="G666" s="38"/>
      <c r="H666" s="2">
        <v>19.35772</v>
      </c>
      <c r="I666" s="28"/>
      <c r="J666" s="38"/>
      <c r="L666" s="17"/>
      <c r="M666" s="18"/>
      <c r="N666" s="17"/>
      <c r="O666" s="11"/>
      <c r="P666" s="20"/>
      <c r="Q666" s="23"/>
      <c r="R666" s="24"/>
      <c r="S666" s="12"/>
      <c r="T666" s="17"/>
      <c r="U666" s="19"/>
      <c r="V666" s="13"/>
    </row>
    <row r="667" spans="1:22" ht="16" x14ac:dyDescent="0.2">
      <c r="A667" s="31"/>
      <c r="B667" s="33"/>
      <c r="C667" s="26"/>
      <c r="D667" s="4" t="s">
        <v>9</v>
      </c>
      <c r="E667" s="2">
        <v>172.33126000000001</v>
      </c>
      <c r="F667" s="28"/>
      <c r="G667" s="38"/>
      <c r="H667" s="2">
        <v>18.748900000000003</v>
      </c>
      <c r="I667" s="28"/>
      <c r="J667" s="38"/>
      <c r="L667" s="17"/>
      <c r="M667" s="18"/>
      <c r="N667" s="17"/>
      <c r="O667" s="11"/>
      <c r="P667" s="20"/>
      <c r="Q667" s="23"/>
      <c r="R667" s="24"/>
      <c r="S667" s="12"/>
      <c r="T667" s="17"/>
      <c r="U667" s="19"/>
      <c r="V667" s="13"/>
    </row>
    <row r="668" spans="1:22" ht="16" x14ac:dyDescent="0.2">
      <c r="A668" s="31"/>
      <c r="B668" s="33"/>
      <c r="C668" s="26"/>
      <c r="D668" s="4" t="s">
        <v>10</v>
      </c>
      <c r="E668" s="2">
        <v>172.98758999999998</v>
      </c>
      <c r="F668" s="28"/>
      <c r="G668" s="38"/>
      <c r="H668" s="2">
        <v>17.35802</v>
      </c>
      <c r="I668" s="28"/>
      <c r="J668" s="38"/>
      <c r="L668" s="17"/>
      <c r="M668" s="18"/>
      <c r="N668" s="17"/>
      <c r="O668" s="11"/>
      <c r="P668" s="20"/>
      <c r="Q668" s="23"/>
      <c r="R668" s="24"/>
      <c r="S668" s="12"/>
      <c r="T668" s="17"/>
      <c r="U668" s="19"/>
      <c r="V668" s="13"/>
    </row>
    <row r="669" spans="1:22" ht="16" x14ac:dyDescent="0.2">
      <c r="A669" s="31"/>
      <c r="B669" s="33"/>
      <c r="C669" s="26"/>
      <c r="D669" s="4" t="s">
        <v>11</v>
      </c>
      <c r="E669" s="2">
        <v>171.1431</v>
      </c>
      <c r="F669" s="29"/>
      <c r="G669" s="38"/>
      <c r="H669" s="2">
        <v>17.815020000000001</v>
      </c>
      <c r="I669" s="29"/>
      <c r="J669" s="38"/>
      <c r="L669" s="17"/>
      <c r="M669" s="18"/>
      <c r="N669" s="17"/>
      <c r="O669" s="11"/>
      <c r="P669" s="20"/>
      <c r="Q669" s="23"/>
      <c r="R669" s="24"/>
      <c r="S669" s="12"/>
      <c r="T669" s="17"/>
      <c r="U669" s="19"/>
      <c r="V669" s="13"/>
    </row>
    <row r="670" spans="1:22" ht="16" x14ac:dyDescent="0.2">
      <c r="A670" s="31"/>
      <c r="B670" s="33"/>
      <c r="C670" s="26">
        <v>4</v>
      </c>
      <c r="D670" s="4" t="s">
        <v>7</v>
      </c>
      <c r="E670" s="2">
        <v>168.17534000000001</v>
      </c>
      <c r="F670" s="27">
        <f t="shared" ref="F670" si="572">AVERAGE(E670:E674)</f>
        <v>143.51156799999998</v>
      </c>
      <c r="G670" s="38"/>
      <c r="H670" s="2">
        <v>18.952400000000001</v>
      </c>
      <c r="I670" s="27">
        <f t="shared" ref="I670" si="573">AVERAGE(H670:H674)</f>
        <v>21.837262000000003</v>
      </c>
      <c r="J670" s="38"/>
      <c r="L670" s="17"/>
      <c r="M670" s="18"/>
      <c r="N670" s="17"/>
      <c r="O670" s="11"/>
      <c r="P670" s="20"/>
      <c r="Q670" s="23"/>
      <c r="R670" s="24"/>
      <c r="S670" s="12"/>
      <c r="T670" s="17"/>
      <c r="U670" s="19"/>
      <c r="V670" s="13"/>
    </row>
    <row r="671" spans="1:22" ht="16" x14ac:dyDescent="0.2">
      <c r="A671" s="31"/>
      <c r="B671" s="33"/>
      <c r="C671" s="26"/>
      <c r="D671" s="4" t="s">
        <v>8</v>
      </c>
      <c r="E671" s="2">
        <v>140.66897</v>
      </c>
      <c r="F671" s="28"/>
      <c r="G671" s="38"/>
      <c r="H671" s="2">
        <v>18.136969999999998</v>
      </c>
      <c r="I671" s="28"/>
      <c r="J671" s="38"/>
      <c r="L671" s="17"/>
      <c r="M671" s="18"/>
      <c r="N671" s="17"/>
      <c r="O671" s="11"/>
      <c r="P671" s="20"/>
      <c r="Q671" s="23"/>
      <c r="R671" s="24"/>
      <c r="S671" s="12"/>
      <c r="T671" s="17"/>
      <c r="U671" s="19"/>
      <c r="V671" s="13"/>
    </row>
    <row r="672" spans="1:22" ht="16" x14ac:dyDescent="0.2">
      <c r="A672" s="31"/>
      <c r="B672" s="33"/>
      <c r="C672" s="26"/>
      <c r="D672" s="4" t="s">
        <v>9</v>
      </c>
      <c r="E672" s="2">
        <v>154.04399000000001</v>
      </c>
      <c r="F672" s="28"/>
      <c r="G672" s="38"/>
      <c r="H672" s="2">
        <v>25.470549999999999</v>
      </c>
      <c r="I672" s="28"/>
      <c r="J672" s="38"/>
      <c r="L672" s="17"/>
      <c r="M672" s="18"/>
      <c r="N672" s="17"/>
      <c r="O672" s="11"/>
      <c r="P672" s="20"/>
      <c r="Q672" s="23"/>
      <c r="R672" s="24"/>
      <c r="S672" s="12"/>
      <c r="T672" s="17"/>
      <c r="U672" s="19"/>
      <c r="V672" s="13"/>
    </row>
    <row r="673" spans="1:22" ht="16" x14ac:dyDescent="0.2">
      <c r="A673" s="31"/>
      <c r="B673" s="33"/>
      <c r="C673" s="26"/>
      <c r="D673" s="4" t="s">
        <v>10</v>
      </c>
      <c r="E673" s="2">
        <v>120.38305</v>
      </c>
      <c r="F673" s="28"/>
      <c r="G673" s="38"/>
      <c r="H673" s="2">
        <v>27.279119999999999</v>
      </c>
      <c r="I673" s="28"/>
      <c r="J673" s="38"/>
      <c r="L673" s="17"/>
      <c r="M673" s="18"/>
      <c r="N673" s="17"/>
      <c r="O673" s="11"/>
      <c r="P673" s="20"/>
      <c r="Q673" s="23"/>
      <c r="R673" s="24"/>
      <c r="S673" s="12"/>
      <c r="T673" s="17"/>
      <c r="U673" s="19"/>
      <c r="V673" s="13"/>
    </row>
    <row r="674" spans="1:22" ht="16" x14ac:dyDescent="0.2">
      <c r="A674" s="31"/>
      <c r="B674" s="33"/>
      <c r="C674" s="26"/>
      <c r="D674" s="4" t="s">
        <v>11</v>
      </c>
      <c r="E674" s="2">
        <v>134.28648999999999</v>
      </c>
      <c r="F674" s="29"/>
      <c r="G674" s="38"/>
      <c r="H674" s="2">
        <v>19.347270000000002</v>
      </c>
      <c r="I674" s="29"/>
      <c r="J674" s="38"/>
      <c r="L674" s="17"/>
      <c r="M674" s="18"/>
      <c r="N674" s="17"/>
      <c r="O674" s="11"/>
      <c r="P674" s="20"/>
      <c r="Q674" s="23"/>
      <c r="R674" s="24"/>
      <c r="S674" s="12"/>
      <c r="T674" s="17"/>
      <c r="U674" s="19"/>
      <c r="V674" s="13"/>
    </row>
    <row r="675" spans="1:22" ht="16" x14ac:dyDescent="0.2">
      <c r="A675" s="31"/>
      <c r="B675" s="33"/>
      <c r="C675" s="26">
        <v>5</v>
      </c>
      <c r="D675" s="4" t="s">
        <v>7</v>
      </c>
      <c r="E675" s="2">
        <v>134.74311</v>
      </c>
      <c r="F675" s="27">
        <f t="shared" ref="F675" si="574">AVERAGE(E675:E679)</f>
        <v>109.891778</v>
      </c>
      <c r="G675" s="38"/>
      <c r="H675" s="2">
        <v>28.194510000000001</v>
      </c>
      <c r="I675" s="27">
        <f t="shared" ref="I675" si="575">AVERAGE(H675:H679)</f>
        <v>36.829120000000003</v>
      </c>
      <c r="J675" s="38"/>
      <c r="L675" s="17"/>
      <c r="M675" s="18"/>
      <c r="N675" s="17"/>
      <c r="O675" s="11"/>
      <c r="P675" s="20"/>
      <c r="Q675" s="23"/>
      <c r="R675" s="24"/>
      <c r="S675" s="12"/>
      <c r="T675" s="17"/>
      <c r="U675" s="19"/>
      <c r="V675" s="13"/>
    </row>
    <row r="676" spans="1:22" ht="16" x14ac:dyDescent="0.2">
      <c r="A676" s="31"/>
      <c r="B676" s="33"/>
      <c r="C676" s="26"/>
      <c r="D676" s="4" t="s">
        <v>8</v>
      </c>
      <c r="E676" s="2">
        <v>155.57794000000001</v>
      </c>
      <c r="F676" s="28"/>
      <c r="G676" s="38"/>
      <c r="H676" s="2">
        <v>17.723779999999998</v>
      </c>
      <c r="I676" s="28"/>
      <c r="J676" s="38"/>
      <c r="L676" s="17"/>
      <c r="M676" s="18"/>
      <c r="N676" s="17"/>
      <c r="O676" s="11"/>
      <c r="P676" s="20"/>
      <c r="Q676" s="23"/>
      <c r="R676" s="24"/>
      <c r="S676" s="12"/>
      <c r="T676" s="17"/>
      <c r="U676" s="19"/>
      <c r="V676" s="13"/>
    </row>
    <row r="677" spans="1:22" ht="16" x14ac:dyDescent="0.2">
      <c r="A677" s="31"/>
      <c r="B677" s="33"/>
      <c r="C677" s="26"/>
      <c r="D677" s="4" t="s">
        <v>9</v>
      </c>
      <c r="E677" s="2">
        <v>119.91068</v>
      </c>
      <c r="F677" s="28"/>
      <c r="G677" s="38"/>
      <c r="H677" s="2">
        <v>24.881070000000001</v>
      </c>
      <c r="I677" s="28"/>
      <c r="J677" s="38"/>
      <c r="L677" s="17"/>
      <c r="M677" s="18"/>
      <c r="N677" s="17"/>
      <c r="O677" s="11"/>
      <c r="P677" s="20"/>
      <c r="Q677" s="23"/>
      <c r="R677" s="24"/>
      <c r="S677" s="12"/>
      <c r="T677" s="17"/>
      <c r="U677" s="19"/>
      <c r="V677" s="13"/>
    </row>
    <row r="678" spans="1:22" ht="16" x14ac:dyDescent="0.2">
      <c r="A678" s="31"/>
      <c r="B678" s="33"/>
      <c r="C678" s="26"/>
      <c r="D678" s="4" t="s">
        <v>10</v>
      </c>
      <c r="E678" s="2">
        <v>17.304690000000001</v>
      </c>
      <c r="F678" s="28"/>
      <c r="G678" s="38"/>
      <c r="H678" s="2">
        <v>98.316399999999987</v>
      </c>
      <c r="I678" s="28"/>
      <c r="J678" s="38"/>
      <c r="L678" s="17"/>
      <c r="M678" s="18"/>
      <c r="N678" s="17"/>
      <c r="O678" s="11"/>
      <c r="P678" s="20"/>
      <c r="Q678" s="23"/>
      <c r="R678" s="24"/>
      <c r="S678" s="12"/>
      <c r="T678" s="17"/>
      <c r="U678" s="19"/>
      <c r="V678" s="13"/>
    </row>
    <row r="679" spans="1:22" ht="16" x14ac:dyDescent="0.2">
      <c r="A679" s="32"/>
      <c r="B679" s="33"/>
      <c r="C679" s="26"/>
      <c r="D679" s="4" t="s">
        <v>11</v>
      </c>
      <c r="E679" s="2">
        <v>121.92246999999999</v>
      </c>
      <c r="F679" s="29"/>
      <c r="G679" s="39"/>
      <c r="H679" s="2">
        <v>15.02984</v>
      </c>
      <c r="I679" s="29"/>
      <c r="J679" s="39"/>
      <c r="L679" s="17"/>
      <c r="M679" s="18"/>
      <c r="N679" s="17"/>
      <c r="O679" s="11"/>
      <c r="P679" s="20"/>
      <c r="Q679" s="23"/>
      <c r="R679" s="24"/>
      <c r="S679" s="12"/>
      <c r="T679" s="17"/>
      <c r="U679" s="19"/>
      <c r="V679" s="13"/>
    </row>
    <row r="680" spans="1:22" ht="16" x14ac:dyDescent="0.2">
      <c r="A680" s="30" t="s">
        <v>14</v>
      </c>
      <c r="B680" s="33">
        <v>1</v>
      </c>
      <c r="C680" s="26">
        <v>1</v>
      </c>
      <c r="D680" s="4" t="s">
        <v>7</v>
      </c>
      <c r="E680" s="2">
        <v>117.63829</v>
      </c>
      <c r="F680" s="27">
        <f t="shared" ref="F680" si="576">AVERAGE(E680:E684)</f>
        <v>132.85225399999999</v>
      </c>
      <c r="G680" s="37">
        <f>AVERAGE(F680:F704)</f>
        <v>133.34532480000001</v>
      </c>
      <c r="H680" s="2">
        <v>23.507559999999998</v>
      </c>
      <c r="I680" s="27">
        <f t="shared" ref="I680" si="577">AVERAGE(H680:H684)</f>
        <v>17.718806000000001</v>
      </c>
      <c r="J680" s="37">
        <f t="shared" ref="J680" si="578">AVERAGE(I680:I704)</f>
        <v>24.432700800000003</v>
      </c>
      <c r="L680" s="17"/>
      <c r="M680" s="18"/>
      <c r="N680" s="17"/>
      <c r="O680" s="11"/>
      <c r="P680" s="20"/>
      <c r="Q680" s="23"/>
      <c r="R680" s="24"/>
      <c r="S680" s="12"/>
      <c r="T680" s="17"/>
      <c r="U680" s="19"/>
    </row>
    <row r="681" spans="1:22" ht="16" x14ac:dyDescent="0.2">
      <c r="A681" s="31"/>
      <c r="B681" s="33"/>
      <c r="C681" s="26"/>
      <c r="D681" s="4" t="s">
        <v>8</v>
      </c>
      <c r="E681" s="2">
        <v>179.16341</v>
      </c>
      <c r="F681" s="28"/>
      <c r="G681" s="38"/>
      <c r="H681" s="2">
        <v>15.470550000000001</v>
      </c>
      <c r="I681" s="28"/>
      <c r="J681" s="38"/>
      <c r="L681" s="17"/>
      <c r="M681" s="18"/>
      <c r="N681" s="17"/>
      <c r="O681" s="11"/>
      <c r="P681" s="20"/>
      <c r="Q681" s="23"/>
      <c r="R681" s="24"/>
      <c r="S681" s="12"/>
      <c r="T681" s="17"/>
      <c r="U681" s="19"/>
    </row>
    <row r="682" spans="1:22" ht="16" x14ac:dyDescent="0.2">
      <c r="A682" s="31"/>
      <c r="B682" s="33"/>
      <c r="C682" s="26"/>
      <c r="D682" s="4" t="s">
        <v>9</v>
      </c>
      <c r="E682" s="2">
        <v>89.066759999999988</v>
      </c>
      <c r="F682" s="28"/>
      <c r="G682" s="38"/>
      <c r="H682" s="2">
        <v>22.83071</v>
      </c>
      <c r="I682" s="28"/>
      <c r="J682" s="38"/>
      <c r="L682" s="17"/>
      <c r="M682" s="18"/>
      <c r="N682" s="17"/>
      <c r="O682" s="11"/>
      <c r="P682" s="20"/>
      <c r="Q682" s="23"/>
      <c r="R682" s="24"/>
      <c r="S682" s="12"/>
      <c r="T682" s="17"/>
      <c r="U682" s="19"/>
    </row>
    <row r="683" spans="1:22" ht="16" x14ac:dyDescent="0.2">
      <c r="A683" s="31"/>
      <c r="B683" s="33"/>
      <c r="C683" s="26"/>
      <c r="D683" s="4" t="s">
        <v>10</v>
      </c>
      <c r="E683" s="2">
        <v>97.5839</v>
      </c>
      <c r="F683" s="28"/>
      <c r="G683" s="38"/>
      <c r="H683" s="2">
        <v>11.01586</v>
      </c>
      <c r="I683" s="28"/>
      <c r="J683" s="38"/>
      <c r="L683" s="17"/>
      <c r="M683" s="18"/>
      <c r="N683" s="17"/>
      <c r="O683" s="11"/>
      <c r="P683" s="20"/>
      <c r="Q683" s="23"/>
      <c r="R683" s="24"/>
      <c r="S683" s="12"/>
      <c r="T683" s="17"/>
      <c r="U683" s="19"/>
    </row>
    <row r="684" spans="1:22" ht="16" x14ac:dyDescent="0.2">
      <c r="A684" s="31"/>
      <c r="B684" s="33"/>
      <c r="C684" s="26"/>
      <c r="D684" s="4" t="s">
        <v>11</v>
      </c>
      <c r="E684" s="2">
        <v>180.80891</v>
      </c>
      <c r="F684" s="29"/>
      <c r="G684" s="38"/>
      <c r="H684" s="2">
        <v>15.769349999999999</v>
      </c>
      <c r="I684" s="29"/>
      <c r="J684" s="38"/>
      <c r="L684" s="17"/>
      <c r="M684" s="18"/>
      <c r="N684" s="17"/>
      <c r="O684" s="11"/>
      <c r="P684" s="20"/>
      <c r="Q684" s="23"/>
      <c r="R684" s="24"/>
      <c r="S684" s="12"/>
      <c r="T684" s="17"/>
      <c r="U684" s="19"/>
    </row>
    <row r="685" spans="1:22" ht="16" x14ac:dyDescent="0.2">
      <c r="A685" s="31"/>
      <c r="B685" s="33"/>
      <c r="C685" s="26">
        <v>2</v>
      </c>
      <c r="D685" s="4" t="s">
        <v>7</v>
      </c>
      <c r="E685" s="2">
        <v>95.983490000000003</v>
      </c>
      <c r="F685" s="27">
        <f t="shared" ref="F685" si="579">AVERAGE(E685:E689)</f>
        <v>149.75527400000001</v>
      </c>
      <c r="G685" s="38"/>
      <c r="H685" s="2">
        <v>22.846590000000003</v>
      </c>
      <c r="I685" s="27">
        <f t="shared" ref="I685" si="580">AVERAGE(H685:H689)</f>
        <v>20.988386000000002</v>
      </c>
      <c r="J685" s="38"/>
      <c r="L685" s="17"/>
      <c r="M685" s="18"/>
      <c r="N685" s="17"/>
      <c r="O685" s="11"/>
      <c r="P685" s="20"/>
      <c r="Q685" s="23"/>
      <c r="R685" s="24"/>
      <c r="S685" s="12"/>
      <c r="T685" s="17"/>
      <c r="U685" s="19"/>
    </row>
    <row r="686" spans="1:22" ht="16" x14ac:dyDescent="0.2">
      <c r="A686" s="31"/>
      <c r="B686" s="33"/>
      <c r="C686" s="26"/>
      <c r="D686" s="4" t="s">
        <v>8</v>
      </c>
      <c r="E686" s="2">
        <v>86.994720000000001</v>
      </c>
      <c r="F686" s="28"/>
      <c r="G686" s="38"/>
      <c r="H686" s="2">
        <v>20.38785</v>
      </c>
      <c r="I686" s="28"/>
      <c r="J686" s="38"/>
      <c r="L686" s="17"/>
      <c r="M686" s="18"/>
      <c r="N686" s="17"/>
      <c r="O686" s="11"/>
      <c r="P686" s="20"/>
      <c r="Q686" s="23"/>
      <c r="R686" s="24"/>
      <c r="S686" s="12"/>
      <c r="T686" s="17"/>
      <c r="U686" s="19"/>
    </row>
    <row r="687" spans="1:22" ht="16" x14ac:dyDescent="0.2">
      <c r="A687" s="31"/>
      <c r="B687" s="33"/>
      <c r="C687" s="26"/>
      <c r="D687" s="4" t="s">
        <v>9</v>
      </c>
      <c r="E687" s="2">
        <v>184.72468000000001</v>
      </c>
      <c r="F687" s="28"/>
      <c r="G687" s="38"/>
      <c r="H687" s="2">
        <v>18.972090000000001</v>
      </c>
      <c r="I687" s="28"/>
      <c r="J687" s="38"/>
      <c r="L687" s="17"/>
      <c r="M687" s="18"/>
      <c r="N687" s="17"/>
      <c r="O687" s="11"/>
      <c r="P687" s="20"/>
      <c r="Q687" s="23"/>
      <c r="R687" s="24"/>
      <c r="S687" s="12"/>
      <c r="T687" s="17"/>
      <c r="U687" s="19"/>
    </row>
    <row r="688" spans="1:22" ht="16" x14ac:dyDescent="0.2">
      <c r="A688" s="31"/>
      <c r="B688" s="33"/>
      <c r="C688" s="26"/>
      <c r="D688" s="4" t="s">
        <v>10</v>
      </c>
      <c r="E688" s="2">
        <v>192.05727999999999</v>
      </c>
      <c r="F688" s="28"/>
      <c r="G688" s="38"/>
      <c r="H688" s="2">
        <v>23.38813</v>
      </c>
      <c r="I688" s="28"/>
      <c r="J688" s="38"/>
      <c r="L688" s="17"/>
      <c r="M688" s="18"/>
      <c r="N688" s="17"/>
      <c r="O688" s="11"/>
      <c r="P688" s="20"/>
      <c r="Q688" s="23"/>
      <c r="R688" s="24"/>
      <c r="S688" s="12"/>
      <c r="T688" s="17"/>
      <c r="U688" s="19"/>
    </row>
    <row r="689" spans="1:21" ht="16" x14ac:dyDescent="0.2">
      <c r="A689" s="31"/>
      <c r="B689" s="33"/>
      <c r="C689" s="26"/>
      <c r="D689" s="4" t="s">
        <v>11</v>
      </c>
      <c r="E689" s="2">
        <v>189.0162</v>
      </c>
      <c r="F689" s="29"/>
      <c r="G689" s="38"/>
      <c r="H689" s="2">
        <v>19.347270000000002</v>
      </c>
      <c r="I689" s="29"/>
      <c r="J689" s="38"/>
      <c r="L689" s="17"/>
      <c r="M689" s="18"/>
      <c r="N689" s="17"/>
      <c r="O689" s="11"/>
      <c r="P689" s="20"/>
      <c r="Q689" s="23"/>
      <c r="R689" s="24"/>
      <c r="S689" s="12"/>
      <c r="T689" s="17"/>
      <c r="U689" s="19"/>
    </row>
    <row r="690" spans="1:21" ht="16" x14ac:dyDescent="0.2">
      <c r="A690" s="31"/>
      <c r="B690" s="33"/>
      <c r="C690" s="26">
        <v>3</v>
      </c>
      <c r="D690" s="4" t="s">
        <v>7</v>
      </c>
      <c r="E690" s="2">
        <v>87.638289999999998</v>
      </c>
      <c r="F690" s="27">
        <f t="shared" ref="F690" si="581">AVERAGE(E690:E694)</f>
        <v>114.85225399999999</v>
      </c>
      <c r="G690" s="38"/>
      <c r="H690" s="2">
        <v>28.194510000000001</v>
      </c>
      <c r="I690" s="27">
        <f t="shared" ref="I690" si="582">AVERAGE(H690:H694)</f>
        <v>36.829120000000003</v>
      </c>
      <c r="J690" s="38"/>
      <c r="L690" s="17"/>
      <c r="M690" s="18"/>
      <c r="N690" s="17"/>
      <c r="O690" s="11"/>
      <c r="P690" s="20"/>
      <c r="Q690" s="23"/>
      <c r="R690" s="24"/>
      <c r="S690" s="12"/>
      <c r="T690" s="17"/>
      <c r="U690" s="19"/>
    </row>
    <row r="691" spans="1:21" ht="16" x14ac:dyDescent="0.2">
      <c r="A691" s="31"/>
      <c r="B691" s="33"/>
      <c r="C691" s="26"/>
      <c r="D691" s="4" t="s">
        <v>8</v>
      </c>
      <c r="E691" s="2">
        <v>79.163409999999999</v>
      </c>
      <c r="F691" s="28"/>
      <c r="G691" s="38"/>
      <c r="H691" s="2">
        <v>17.723779999999998</v>
      </c>
      <c r="I691" s="28"/>
      <c r="J691" s="38"/>
      <c r="L691" s="17"/>
      <c r="M691" s="18"/>
      <c r="N691" s="17"/>
      <c r="O691" s="11"/>
      <c r="P691" s="20"/>
      <c r="Q691" s="23"/>
      <c r="R691" s="24"/>
      <c r="S691" s="12"/>
      <c r="T691" s="17"/>
      <c r="U691" s="19"/>
    </row>
    <row r="692" spans="1:21" ht="16" x14ac:dyDescent="0.2">
      <c r="A692" s="31"/>
      <c r="B692" s="33"/>
      <c r="C692" s="26"/>
      <c r="D692" s="4" t="s">
        <v>9</v>
      </c>
      <c r="E692" s="2">
        <v>159.06675999999999</v>
      </c>
      <c r="F692" s="28"/>
      <c r="G692" s="38"/>
      <c r="H692" s="2">
        <v>22.881070000000001</v>
      </c>
      <c r="I692" s="28"/>
      <c r="J692" s="38"/>
      <c r="L692" s="17"/>
      <c r="M692" s="18"/>
      <c r="N692" s="17"/>
      <c r="O692" s="11"/>
      <c r="P692" s="20"/>
      <c r="Q692" s="23"/>
      <c r="R692" s="24"/>
      <c r="S692" s="12"/>
      <c r="T692" s="17"/>
      <c r="U692" s="19"/>
    </row>
    <row r="693" spans="1:21" ht="16" x14ac:dyDescent="0.2">
      <c r="A693" s="31"/>
      <c r="B693" s="33"/>
      <c r="C693" s="26"/>
      <c r="D693" s="4" t="s">
        <v>10</v>
      </c>
      <c r="E693" s="2">
        <v>167.5839</v>
      </c>
      <c r="F693" s="28"/>
      <c r="G693" s="38"/>
      <c r="H693" s="2">
        <v>98.316399999999987</v>
      </c>
      <c r="I693" s="28"/>
      <c r="J693" s="38"/>
      <c r="L693" s="17"/>
      <c r="M693" s="18"/>
      <c r="N693" s="17"/>
      <c r="O693" s="11"/>
      <c r="P693" s="20"/>
      <c r="Q693" s="23"/>
      <c r="R693" s="24"/>
      <c r="S693" s="12"/>
      <c r="T693" s="17"/>
      <c r="U693" s="19"/>
    </row>
    <row r="694" spans="1:21" ht="16" x14ac:dyDescent="0.2">
      <c r="A694" s="31"/>
      <c r="B694" s="33"/>
      <c r="C694" s="26"/>
      <c r="D694" s="4" t="s">
        <v>11</v>
      </c>
      <c r="E694" s="2">
        <v>80.808909999999997</v>
      </c>
      <c r="F694" s="29"/>
      <c r="G694" s="38"/>
      <c r="H694" s="2">
        <v>17.02984</v>
      </c>
      <c r="I694" s="29"/>
      <c r="J694" s="38"/>
      <c r="L694" s="17"/>
      <c r="M694" s="18"/>
      <c r="N694" s="17"/>
      <c r="O694" s="11"/>
      <c r="P694" s="20"/>
      <c r="Q694" s="23"/>
      <c r="R694" s="24"/>
      <c r="S694" s="12"/>
      <c r="T694" s="17"/>
      <c r="U694" s="19"/>
    </row>
    <row r="695" spans="1:21" ht="16" x14ac:dyDescent="0.2">
      <c r="A695" s="31"/>
      <c r="B695" s="33"/>
      <c r="C695" s="26">
        <v>4</v>
      </c>
      <c r="D695" s="4" t="s">
        <v>7</v>
      </c>
      <c r="E695" s="2">
        <v>95.983490000000003</v>
      </c>
      <c r="F695" s="27">
        <f t="shared" ref="F695" si="583">AVERAGE(E695:E699)</f>
        <v>125.75527400000001</v>
      </c>
      <c r="G695" s="38"/>
      <c r="H695" s="2">
        <v>24.507559999999998</v>
      </c>
      <c r="I695" s="27">
        <f t="shared" ref="I695" si="584">AVERAGE(H695:H699)</f>
        <v>24.118805999999999</v>
      </c>
      <c r="J695" s="38"/>
      <c r="L695" s="17"/>
      <c r="M695" s="18"/>
      <c r="N695" s="17"/>
      <c r="O695" s="11"/>
      <c r="P695" s="20"/>
      <c r="Q695" s="23"/>
      <c r="R695" s="24"/>
      <c r="S695" s="12"/>
      <c r="T695" s="17"/>
      <c r="U695" s="19"/>
    </row>
    <row r="696" spans="1:21" ht="16" x14ac:dyDescent="0.2">
      <c r="A696" s="31"/>
      <c r="B696" s="33"/>
      <c r="C696" s="26"/>
      <c r="D696" s="4" t="s">
        <v>8</v>
      </c>
      <c r="E696" s="2">
        <v>176.99472000000003</v>
      </c>
      <c r="F696" s="28"/>
      <c r="G696" s="38"/>
      <c r="H696" s="2">
        <v>25.470549999999999</v>
      </c>
      <c r="I696" s="28"/>
      <c r="J696" s="38"/>
      <c r="L696" s="17"/>
      <c r="M696" s="18"/>
      <c r="N696" s="17"/>
      <c r="O696" s="11"/>
      <c r="P696" s="20"/>
      <c r="Q696" s="23"/>
      <c r="R696" s="24"/>
      <c r="S696" s="12"/>
      <c r="T696" s="17"/>
      <c r="U696" s="19"/>
    </row>
    <row r="697" spans="1:21" ht="16" x14ac:dyDescent="0.2">
      <c r="A697" s="31"/>
      <c r="B697" s="33"/>
      <c r="C697" s="26"/>
      <c r="D697" s="4" t="s">
        <v>9</v>
      </c>
      <c r="E697" s="2">
        <v>84.724680000000006</v>
      </c>
      <c r="F697" s="28"/>
      <c r="G697" s="38"/>
      <c r="H697" s="2">
        <v>22.83071</v>
      </c>
      <c r="I697" s="28"/>
      <c r="J697" s="38"/>
      <c r="L697" s="17"/>
      <c r="M697" s="18"/>
      <c r="N697" s="17"/>
      <c r="O697" s="11"/>
      <c r="P697" s="20"/>
      <c r="Q697" s="23"/>
      <c r="R697" s="24"/>
      <c r="S697" s="12"/>
      <c r="T697" s="17"/>
      <c r="U697" s="19"/>
    </row>
    <row r="698" spans="1:21" ht="16" x14ac:dyDescent="0.2">
      <c r="A698" s="31"/>
      <c r="B698" s="33"/>
      <c r="C698" s="26"/>
      <c r="D698" s="4" t="s">
        <v>10</v>
      </c>
      <c r="E698" s="2">
        <v>172.05727999999999</v>
      </c>
      <c r="F698" s="28"/>
      <c r="G698" s="38"/>
      <c r="H698" s="2">
        <v>22.015859999999996</v>
      </c>
      <c r="I698" s="28"/>
      <c r="J698" s="38"/>
      <c r="L698" s="17"/>
      <c r="M698" s="18"/>
      <c r="N698" s="17"/>
      <c r="O698" s="11"/>
      <c r="P698" s="20"/>
      <c r="Q698" s="23"/>
      <c r="R698" s="24"/>
      <c r="S698" s="12"/>
      <c r="T698" s="17"/>
      <c r="U698" s="19"/>
    </row>
    <row r="699" spans="1:21" ht="16" x14ac:dyDescent="0.2">
      <c r="A699" s="31"/>
      <c r="B699" s="33"/>
      <c r="C699" s="26"/>
      <c r="D699" s="4" t="s">
        <v>11</v>
      </c>
      <c r="E699" s="2">
        <v>99.016200000000012</v>
      </c>
      <c r="F699" s="29"/>
      <c r="G699" s="38"/>
      <c r="H699" s="2">
        <v>25.769349999999999</v>
      </c>
      <c r="I699" s="29"/>
      <c r="J699" s="38"/>
      <c r="L699" s="17"/>
      <c r="M699" s="18"/>
      <c r="N699" s="17"/>
      <c r="O699" s="11"/>
      <c r="P699" s="20"/>
      <c r="Q699" s="23"/>
      <c r="R699" s="24"/>
      <c r="S699" s="12"/>
      <c r="T699" s="17"/>
      <c r="U699" s="19"/>
    </row>
    <row r="700" spans="1:21" ht="16" x14ac:dyDescent="0.2">
      <c r="A700" s="31"/>
      <c r="B700" s="33"/>
      <c r="C700" s="26">
        <v>5</v>
      </c>
      <c r="D700" s="4" t="s">
        <v>7</v>
      </c>
      <c r="E700" s="2">
        <v>168.17534000000001</v>
      </c>
      <c r="F700" s="27">
        <f t="shared" ref="F700" si="585">AVERAGE(E700:E704)</f>
        <v>143.51156799999998</v>
      </c>
      <c r="G700" s="38"/>
      <c r="H700" s="2">
        <v>22.846590000000003</v>
      </c>
      <c r="I700" s="27">
        <f t="shared" ref="I700" si="586">AVERAGE(H700:H704)</f>
        <v>22.508386000000002</v>
      </c>
      <c r="J700" s="38"/>
      <c r="L700" s="17"/>
      <c r="M700" s="18"/>
      <c r="N700" s="17"/>
      <c r="O700" s="11"/>
      <c r="P700" s="20"/>
      <c r="Q700" s="23"/>
      <c r="R700" s="24"/>
      <c r="S700" s="12"/>
      <c r="T700" s="17"/>
      <c r="U700" s="19"/>
    </row>
    <row r="701" spans="1:21" ht="16" x14ac:dyDescent="0.2">
      <c r="A701" s="31"/>
      <c r="B701" s="33"/>
      <c r="C701" s="26"/>
      <c r="D701" s="4" t="s">
        <v>8</v>
      </c>
      <c r="E701" s="2">
        <v>140.66897</v>
      </c>
      <c r="F701" s="28"/>
      <c r="G701" s="38"/>
      <c r="H701" s="2">
        <v>27.38785</v>
      </c>
      <c r="I701" s="28"/>
      <c r="J701" s="38"/>
      <c r="L701" s="17"/>
      <c r="M701" s="18"/>
      <c r="N701" s="17"/>
      <c r="O701" s="11"/>
      <c r="P701" s="20"/>
      <c r="Q701" s="23"/>
      <c r="R701" s="24"/>
      <c r="S701" s="12"/>
      <c r="T701" s="17"/>
      <c r="U701" s="19"/>
    </row>
    <row r="702" spans="1:21" ht="16" x14ac:dyDescent="0.2">
      <c r="A702" s="31"/>
      <c r="B702" s="33"/>
      <c r="C702" s="26"/>
      <c r="D702" s="4" t="s">
        <v>9</v>
      </c>
      <c r="E702" s="2">
        <v>154.04399000000001</v>
      </c>
      <c r="F702" s="28"/>
      <c r="G702" s="38"/>
      <c r="H702" s="2">
        <v>28.972089999999998</v>
      </c>
      <c r="I702" s="28"/>
      <c r="J702" s="38"/>
      <c r="L702" s="17"/>
      <c r="M702" s="18"/>
      <c r="N702" s="17"/>
      <c r="O702" s="11"/>
      <c r="P702" s="20"/>
      <c r="Q702" s="23"/>
      <c r="R702" s="24"/>
      <c r="S702" s="12"/>
      <c r="T702" s="17"/>
      <c r="U702" s="19"/>
    </row>
    <row r="703" spans="1:21" ht="16" x14ac:dyDescent="0.2">
      <c r="A703" s="31"/>
      <c r="B703" s="33"/>
      <c r="C703" s="26"/>
      <c r="D703" s="4" t="s">
        <v>10</v>
      </c>
      <c r="E703" s="2">
        <v>120.38305</v>
      </c>
      <c r="F703" s="28"/>
      <c r="G703" s="38"/>
      <c r="H703" s="2">
        <v>23.38813</v>
      </c>
      <c r="I703" s="28"/>
      <c r="J703" s="38"/>
      <c r="L703" s="17"/>
      <c r="M703" s="18"/>
      <c r="N703" s="17"/>
      <c r="O703" s="11"/>
      <c r="P703" s="20"/>
      <c r="Q703" s="23"/>
      <c r="R703" s="24"/>
      <c r="S703" s="12"/>
      <c r="T703" s="17"/>
      <c r="U703" s="19"/>
    </row>
    <row r="704" spans="1:21" ht="16" x14ac:dyDescent="0.2">
      <c r="A704" s="31"/>
      <c r="B704" s="33"/>
      <c r="C704" s="26"/>
      <c r="D704" s="4" t="s">
        <v>11</v>
      </c>
      <c r="E704" s="2">
        <v>134.28648999999999</v>
      </c>
      <c r="F704" s="29"/>
      <c r="G704" s="39"/>
      <c r="H704" s="2">
        <v>9.9472699999999996</v>
      </c>
      <c r="I704" s="29"/>
      <c r="J704" s="39"/>
      <c r="L704" s="17"/>
      <c r="M704" s="18"/>
      <c r="N704" s="17"/>
      <c r="O704" s="11"/>
      <c r="P704" s="20"/>
      <c r="Q704" s="23"/>
      <c r="R704" s="24"/>
      <c r="S704" s="12"/>
      <c r="T704" s="17"/>
      <c r="U704" s="19"/>
    </row>
    <row r="705" spans="1:21" ht="16" x14ac:dyDescent="0.2">
      <c r="A705" s="31"/>
      <c r="B705" s="26">
        <v>2</v>
      </c>
      <c r="C705" s="26">
        <v>1</v>
      </c>
      <c r="D705" s="4" t="s">
        <v>7</v>
      </c>
      <c r="E705" s="2">
        <v>121.58667</v>
      </c>
      <c r="F705" s="27">
        <f t="shared" ref="F705" si="587">AVERAGE(E705:E709)</f>
        <v>96.988702000000018</v>
      </c>
      <c r="G705" s="37">
        <f>AVERAGE(F705:F729)</f>
        <v>138.07799640000002</v>
      </c>
      <c r="H705" s="2">
        <v>27.145979000000001</v>
      </c>
      <c r="I705" s="27">
        <f t="shared" ref="I705" si="588">AVERAGE(H705:H709)</f>
        <v>26.426071799999999</v>
      </c>
      <c r="J705" s="37">
        <f t="shared" ref="J705" si="589">AVERAGE(I705:I729)</f>
        <v>24.488836760000002</v>
      </c>
      <c r="L705" s="17"/>
      <c r="M705" s="18"/>
      <c r="N705" s="17"/>
      <c r="O705" s="11"/>
      <c r="P705" s="20"/>
      <c r="Q705" s="23"/>
      <c r="R705" s="24"/>
      <c r="S705" s="12"/>
      <c r="T705" s="17"/>
      <c r="U705" s="19"/>
    </row>
    <row r="706" spans="1:21" ht="16" x14ac:dyDescent="0.2">
      <c r="A706" s="31"/>
      <c r="B706" s="26"/>
      <c r="C706" s="26"/>
      <c r="D706" s="4" t="s">
        <v>8</v>
      </c>
      <c r="E706" s="2">
        <v>84.504040000000003</v>
      </c>
      <c r="F706" s="28"/>
      <c r="G706" s="38"/>
      <c r="H706" s="2">
        <v>20.032859999999999</v>
      </c>
      <c r="I706" s="28"/>
      <c r="J706" s="38"/>
      <c r="L706" s="17"/>
      <c r="M706" s="18"/>
      <c r="N706" s="17"/>
      <c r="O706" s="11"/>
      <c r="P706" s="20"/>
      <c r="Q706" s="23"/>
      <c r="R706" s="24"/>
      <c r="S706" s="12"/>
      <c r="T706" s="17"/>
      <c r="U706" s="19"/>
    </row>
    <row r="707" spans="1:21" ht="16" x14ac:dyDescent="0.2">
      <c r="A707" s="31"/>
      <c r="B707" s="26"/>
      <c r="C707" s="26"/>
      <c r="D707" s="4" t="s">
        <v>9</v>
      </c>
      <c r="E707" s="2">
        <v>129.24538000000001</v>
      </c>
      <c r="F707" s="28"/>
      <c r="G707" s="38"/>
      <c r="H707" s="2">
        <v>31.737860000000001</v>
      </c>
      <c r="I707" s="28"/>
      <c r="J707" s="38"/>
      <c r="L707" s="17"/>
      <c r="M707" s="18"/>
      <c r="N707" s="17"/>
      <c r="O707" s="11"/>
      <c r="P707" s="20"/>
      <c r="Q707" s="23"/>
      <c r="R707" s="24"/>
      <c r="S707" s="12"/>
      <c r="T707" s="17"/>
      <c r="U707" s="19"/>
    </row>
    <row r="708" spans="1:21" ht="16" x14ac:dyDescent="0.2">
      <c r="A708" s="31"/>
      <c r="B708" s="26"/>
      <c r="C708" s="26"/>
      <c r="D708" s="4" t="s">
        <v>10</v>
      </c>
      <c r="E708" s="2">
        <v>68.243639999999999</v>
      </c>
      <c r="F708" s="28"/>
      <c r="G708" s="38"/>
      <c r="H708" s="2">
        <v>30.337879999999998</v>
      </c>
      <c r="I708" s="28"/>
      <c r="J708" s="38"/>
      <c r="L708" s="17"/>
      <c r="M708" s="18"/>
      <c r="N708" s="17"/>
      <c r="O708" s="11"/>
      <c r="P708" s="20"/>
      <c r="Q708" s="23"/>
      <c r="R708" s="24"/>
      <c r="S708" s="12"/>
      <c r="T708" s="17"/>
      <c r="U708" s="19"/>
    </row>
    <row r="709" spans="1:21" ht="16" x14ac:dyDescent="0.2">
      <c r="A709" s="31"/>
      <c r="B709" s="26"/>
      <c r="C709" s="26"/>
      <c r="D709" s="4" t="s">
        <v>11</v>
      </c>
      <c r="E709" s="2">
        <v>81.363779999999991</v>
      </c>
      <c r="F709" s="29"/>
      <c r="G709" s="38"/>
      <c r="H709" s="2">
        <v>22.875779999999999</v>
      </c>
      <c r="I709" s="29"/>
      <c r="J709" s="38"/>
      <c r="L709" s="17"/>
      <c r="M709" s="18"/>
      <c r="N709" s="17"/>
      <c r="O709" s="11"/>
      <c r="P709" s="20"/>
      <c r="Q709" s="23"/>
      <c r="R709" s="24"/>
      <c r="S709" s="12"/>
      <c r="T709" s="17"/>
      <c r="U709" s="19"/>
    </row>
    <row r="710" spans="1:21" ht="16" x14ac:dyDescent="0.2">
      <c r="A710" s="31"/>
      <c r="B710" s="26"/>
      <c r="C710" s="26">
        <v>2</v>
      </c>
      <c r="D710" s="4" t="s">
        <v>7</v>
      </c>
      <c r="E710" s="2">
        <v>135.50575999999998</v>
      </c>
      <c r="F710" s="27">
        <f t="shared" ref="F710" si="590">AVERAGE(E710:E714)</f>
        <v>128.69079400000001</v>
      </c>
      <c r="G710" s="38"/>
      <c r="H710" s="2">
        <v>27.638290000000001</v>
      </c>
      <c r="I710" s="27">
        <f t="shared" ref="I710" si="591">AVERAGE(H710:H714)</f>
        <v>26.826788000000001</v>
      </c>
      <c r="J710" s="38"/>
      <c r="L710" s="17"/>
      <c r="M710" s="18"/>
      <c r="N710" s="17"/>
      <c r="O710" s="11"/>
      <c r="P710" s="20"/>
      <c r="Q710" s="23"/>
      <c r="R710" s="24"/>
      <c r="S710" s="12"/>
      <c r="T710" s="17"/>
      <c r="U710" s="19"/>
    </row>
    <row r="711" spans="1:21" ht="16" x14ac:dyDescent="0.2">
      <c r="A711" s="31"/>
      <c r="B711" s="26"/>
      <c r="C711" s="26"/>
      <c r="D711" s="4" t="s">
        <v>8</v>
      </c>
      <c r="E711" s="2">
        <v>119.56611000000001</v>
      </c>
      <c r="F711" s="28"/>
      <c r="G711" s="38"/>
      <c r="H711" s="2">
        <v>24.613090000000003</v>
      </c>
      <c r="I711" s="28"/>
      <c r="J711" s="38"/>
      <c r="L711" s="17"/>
      <c r="M711" s="18"/>
      <c r="N711" s="17"/>
      <c r="O711" s="11"/>
      <c r="P711" s="20"/>
      <c r="Q711" s="23"/>
      <c r="R711" s="24"/>
      <c r="S711" s="12"/>
      <c r="T711" s="17"/>
      <c r="U711" s="19"/>
    </row>
    <row r="712" spans="1:21" ht="16" x14ac:dyDescent="0.2">
      <c r="A712" s="31"/>
      <c r="B712" s="26"/>
      <c r="C712" s="26"/>
      <c r="D712" s="4" t="s">
        <v>9</v>
      </c>
      <c r="E712" s="2">
        <v>121.09648999999999</v>
      </c>
      <c r="F712" s="28"/>
      <c r="G712" s="38"/>
      <c r="H712" s="2">
        <v>34.463439999999999</v>
      </c>
      <c r="I712" s="28"/>
      <c r="J712" s="38"/>
      <c r="L712" s="17"/>
      <c r="M712" s="18"/>
      <c r="N712" s="17"/>
      <c r="O712" s="11"/>
      <c r="P712" s="20"/>
      <c r="Q712" s="23"/>
      <c r="R712" s="24"/>
      <c r="S712" s="12"/>
      <c r="T712" s="17"/>
      <c r="U712" s="19"/>
    </row>
    <row r="713" spans="1:21" ht="16" x14ac:dyDescent="0.2">
      <c r="A713" s="31"/>
      <c r="B713" s="26"/>
      <c r="C713" s="26"/>
      <c r="D713" s="4" t="s">
        <v>10</v>
      </c>
      <c r="E713" s="2">
        <v>109.31648999999999</v>
      </c>
      <c r="F713" s="28"/>
      <c r="G713" s="38"/>
      <c r="H713" s="2">
        <v>22.583909999999999</v>
      </c>
      <c r="I713" s="28"/>
      <c r="J713" s="38"/>
      <c r="L713" s="17"/>
      <c r="M713" s="18"/>
      <c r="N713" s="17"/>
      <c r="O713" s="11"/>
      <c r="P713" s="20"/>
      <c r="Q713" s="23"/>
      <c r="R713" s="24"/>
      <c r="S713" s="12"/>
      <c r="T713" s="17"/>
      <c r="U713" s="19"/>
    </row>
    <row r="714" spans="1:21" ht="16" x14ac:dyDescent="0.2">
      <c r="A714" s="31"/>
      <c r="B714" s="26"/>
      <c r="C714" s="26"/>
      <c r="D714" s="4" t="s">
        <v>11</v>
      </c>
      <c r="E714" s="2">
        <v>157.96912</v>
      </c>
      <c r="F714" s="29"/>
      <c r="G714" s="38"/>
      <c r="H714" s="2">
        <v>24.835210000000004</v>
      </c>
      <c r="I714" s="29"/>
      <c r="J714" s="38"/>
      <c r="L714" s="17"/>
      <c r="M714" s="18"/>
      <c r="N714" s="17"/>
      <c r="O714" s="11"/>
      <c r="P714" s="20"/>
      <c r="Q714" s="23"/>
      <c r="R714" s="24"/>
      <c r="S714" s="12"/>
      <c r="T714" s="17"/>
      <c r="U714" s="19"/>
    </row>
    <row r="715" spans="1:21" ht="16" x14ac:dyDescent="0.2">
      <c r="A715" s="31"/>
      <c r="B715" s="26"/>
      <c r="C715" s="26">
        <v>3</v>
      </c>
      <c r="D715" s="4" t="s">
        <v>7</v>
      </c>
      <c r="E715" s="2">
        <v>141.98274000000001</v>
      </c>
      <c r="F715" s="27">
        <f t="shared" ref="F715" si="592">AVERAGE(E715:E719)</f>
        <v>161.366288</v>
      </c>
      <c r="G715" s="38"/>
      <c r="H715" s="2">
        <v>11.480589999999999</v>
      </c>
      <c r="I715" s="27">
        <f t="shared" ref="I715" si="593">AVERAGE(H715:H719)</f>
        <v>25.201708000000004</v>
      </c>
      <c r="J715" s="38"/>
      <c r="L715" s="17"/>
      <c r="M715" s="18"/>
      <c r="N715" s="17"/>
      <c r="O715" s="11"/>
      <c r="P715" s="20"/>
      <c r="Q715" s="23"/>
      <c r="R715" s="24"/>
      <c r="S715" s="12"/>
      <c r="T715" s="17"/>
      <c r="U715" s="19"/>
    </row>
    <row r="716" spans="1:21" ht="16" x14ac:dyDescent="0.2">
      <c r="A716" s="31"/>
      <c r="B716" s="26"/>
      <c r="C716" s="26"/>
      <c r="D716" s="4" t="s">
        <v>8</v>
      </c>
      <c r="E716" s="2">
        <v>142.87066999999999</v>
      </c>
      <c r="F716" s="28"/>
      <c r="G716" s="38"/>
      <c r="H716" s="2">
        <v>21.185030000000001</v>
      </c>
      <c r="I716" s="28"/>
      <c r="J716" s="38"/>
      <c r="L716" s="17"/>
      <c r="M716" s="18"/>
      <c r="N716" s="17"/>
      <c r="O716" s="11"/>
      <c r="P716" s="20"/>
      <c r="Q716" s="23"/>
      <c r="R716" s="24"/>
      <c r="S716" s="12"/>
      <c r="T716" s="17"/>
      <c r="U716" s="19"/>
    </row>
    <row r="717" spans="1:21" ht="16" x14ac:dyDescent="0.2">
      <c r="A717" s="31"/>
      <c r="B717" s="26"/>
      <c r="C717" s="26"/>
      <c r="D717" s="4" t="s">
        <v>9</v>
      </c>
      <c r="E717" s="2">
        <v>172.80511999999999</v>
      </c>
      <c r="F717" s="28"/>
      <c r="G717" s="38"/>
      <c r="H717" s="2">
        <v>25.308440000000001</v>
      </c>
      <c r="I717" s="28"/>
      <c r="J717" s="38"/>
      <c r="L717" s="17"/>
      <c r="M717" s="18"/>
      <c r="N717" s="17"/>
      <c r="O717" s="11"/>
      <c r="P717" s="20"/>
      <c r="Q717" s="23"/>
      <c r="R717" s="24"/>
      <c r="S717" s="12"/>
      <c r="T717" s="17"/>
      <c r="U717" s="19"/>
    </row>
    <row r="718" spans="1:21" ht="16" x14ac:dyDescent="0.2">
      <c r="A718" s="31"/>
      <c r="B718" s="26"/>
      <c r="C718" s="26"/>
      <c r="D718" s="4" t="s">
        <v>10</v>
      </c>
      <c r="E718" s="2">
        <v>215.28740000000002</v>
      </c>
      <c r="F718" s="28"/>
      <c r="G718" s="38"/>
      <c r="H718" s="2">
        <v>29.533380000000001</v>
      </c>
      <c r="I718" s="28"/>
      <c r="J718" s="38"/>
      <c r="L718" s="17"/>
      <c r="M718" s="18"/>
      <c r="N718" s="17"/>
      <c r="O718" s="11"/>
      <c r="P718" s="20"/>
      <c r="Q718" s="23"/>
      <c r="R718" s="24"/>
      <c r="S718" s="12"/>
      <c r="T718" s="17"/>
      <c r="U718" s="19"/>
    </row>
    <row r="719" spans="1:21" ht="16" x14ac:dyDescent="0.2">
      <c r="A719" s="31"/>
      <c r="B719" s="26"/>
      <c r="C719" s="26"/>
      <c r="D719" s="4" t="s">
        <v>11</v>
      </c>
      <c r="E719" s="2">
        <v>133.88550999999998</v>
      </c>
      <c r="F719" s="29"/>
      <c r="G719" s="38"/>
      <c r="H719" s="2">
        <v>38.501100000000001</v>
      </c>
      <c r="I719" s="29"/>
      <c r="J719" s="38"/>
      <c r="L719" s="17"/>
      <c r="M719" s="18"/>
      <c r="N719" s="17"/>
      <c r="O719" s="11"/>
      <c r="P719" s="20"/>
      <c r="Q719" s="23"/>
      <c r="R719" s="24"/>
      <c r="S719" s="12"/>
      <c r="T719" s="17"/>
      <c r="U719" s="19"/>
    </row>
    <row r="720" spans="1:21" ht="16" x14ac:dyDescent="0.2">
      <c r="A720" s="31"/>
      <c r="B720" s="26"/>
      <c r="C720" s="26">
        <v>4</v>
      </c>
      <c r="D720" s="4" t="s">
        <v>7</v>
      </c>
      <c r="E720" s="2">
        <v>125.09822</v>
      </c>
      <c r="F720" s="27">
        <f t="shared" ref="F720" si="594">AVERAGE(E720:E724)</f>
        <v>147.97632000000002</v>
      </c>
      <c r="G720" s="38"/>
      <c r="H720" s="2">
        <v>12.89011</v>
      </c>
      <c r="I720" s="27">
        <f t="shared" ref="I720" si="595">AVERAGE(H720:H724)</f>
        <v>21.493881999999999</v>
      </c>
      <c r="J720" s="38"/>
      <c r="L720" s="17"/>
      <c r="M720" s="18"/>
      <c r="N720" s="17"/>
      <c r="O720" s="11"/>
      <c r="P720" s="20"/>
      <c r="Q720" s="23"/>
      <c r="R720" s="24"/>
      <c r="S720" s="12"/>
      <c r="T720" s="17"/>
      <c r="U720" s="19"/>
    </row>
    <row r="721" spans="1:21" ht="16" x14ac:dyDescent="0.2">
      <c r="A721" s="31"/>
      <c r="B721" s="26"/>
      <c r="C721" s="26"/>
      <c r="D721" s="4" t="s">
        <v>8</v>
      </c>
      <c r="E721" s="2">
        <v>224.33441999999999</v>
      </c>
      <c r="F721" s="28"/>
      <c r="G721" s="38"/>
      <c r="H721" s="2">
        <v>20.0366</v>
      </c>
      <c r="I721" s="28"/>
      <c r="J721" s="38"/>
      <c r="L721" s="17"/>
      <c r="M721" s="18"/>
      <c r="N721" s="17"/>
      <c r="O721" s="11"/>
      <c r="P721" s="20"/>
      <c r="Q721" s="23"/>
      <c r="R721" s="24"/>
      <c r="S721" s="12"/>
      <c r="T721" s="17"/>
      <c r="U721" s="19"/>
    </row>
    <row r="722" spans="1:21" ht="16" x14ac:dyDescent="0.2">
      <c r="A722" s="31"/>
      <c r="B722" s="26"/>
      <c r="C722" s="26"/>
      <c r="D722" s="4" t="s">
        <v>9</v>
      </c>
      <c r="E722" s="2">
        <v>115.15334000000001</v>
      </c>
      <c r="F722" s="28"/>
      <c r="G722" s="38"/>
      <c r="H722" s="2">
        <v>24.350169999999999</v>
      </c>
      <c r="I722" s="28"/>
      <c r="J722" s="38"/>
      <c r="L722" s="17"/>
      <c r="M722" s="18"/>
      <c r="N722" s="17"/>
      <c r="O722" s="11"/>
      <c r="P722" s="20"/>
      <c r="Q722" s="23"/>
      <c r="R722" s="24"/>
      <c r="S722" s="12"/>
      <c r="T722" s="17"/>
      <c r="U722" s="19"/>
    </row>
    <row r="723" spans="1:21" ht="16" x14ac:dyDescent="0.2">
      <c r="A723" s="31"/>
      <c r="B723" s="26"/>
      <c r="C723" s="26"/>
      <c r="D723" s="4" t="s">
        <v>10</v>
      </c>
      <c r="E723" s="2">
        <v>131.61569</v>
      </c>
      <c r="F723" s="28"/>
      <c r="G723" s="38"/>
      <c r="H723" s="2">
        <v>24.267869999999998</v>
      </c>
      <c r="I723" s="28"/>
      <c r="J723" s="38"/>
      <c r="L723" s="17"/>
      <c r="M723" s="18"/>
      <c r="N723" s="17"/>
      <c r="O723" s="11"/>
      <c r="P723" s="20"/>
      <c r="Q723" s="23"/>
      <c r="R723" s="24"/>
      <c r="S723" s="12"/>
      <c r="T723" s="17"/>
      <c r="U723" s="19"/>
    </row>
    <row r="724" spans="1:21" ht="16" x14ac:dyDescent="0.2">
      <c r="A724" s="31"/>
      <c r="B724" s="26"/>
      <c r="C724" s="26"/>
      <c r="D724" s="4" t="s">
        <v>11</v>
      </c>
      <c r="E724" s="2">
        <v>143.67993000000001</v>
      </c>
      <c r="F724" s="29"/>
      <c r="G724" s="38"/>
      <c r="H724" s="2">
        <v>25.924659999999999</v>
      </c>
      <c r="I724" s="29"/>
      <c r="J724" s="38"/>
      <c r="L724" s="17"/>
      <c r="M724" s="18"/>
      <c r="N724" s="17"/>
      <c r="O724" s="11"/>
      <c r="P724" s="20"/>
      <c r="Q724" s="23"/>
      <c r="R724" s="24"/>
      <c r="S724" s="12"/>
      <c r="T724" s="17"/>
      <c r="U724" s="19"/>
    </row>
    <row r="725" spans="1:21" ht="16" x14ac:dyDescent="0.2">
      <c r="A725" s="31"/>
      <c r="B725" s="26"/>
      <c r="C725" s="26">
        <v>5</v>
      </c>
      <c r="D725" s="4" t="s">
        <v>7</v>
      </c>
      <c r="E725" s="2">
        <v>218.15853999999999</v>
      </c>
      <c r="F725" s="27">
        <f t="shared" ref="F725" si="596">AVERAGE(E725:E729)</f>
        <v>155.36787799999999</v>
      </c>
      <c r="G725" s="38"/>
      <c r="H725" s="2">
        <v>16.453019999999999</v>
      </c>
      <c r="I725" s="27">
        <f t="shared" ref="I725" si="597">AVERAGE(H725:H729)</f>
        <v>22.495733999999999</v>
      </c>
      <c r="J725" s="38"/>
      <c r="L725" s="17"/>
      <c r="M725" s="18"/>
      <c r="N725" s="17"/>
      <c r="O725" s="11"/>
      <c r="P725" s="20"/>
      <c r="Q725" s="23"/>
      <c r="R725" s="24"/>
      <c r="S725" s="12"/>
      <c r="T725" s="17"/>
      <c r="U725" s="19"/>
    </row>
    <row r="726" spans="1:21" ht="16" x14ac:dyDescent="0.2">
      <c r="A726" s="31"/>
      <c r="B726" s="26"/>
      <c r="C726" s="26"/>
      <c r="D726" s="4" t="s">
        <v>8</v>
      </c>
      <c r="E726" s="2">
        <v>106.02906000000002</v>
      </c>
      <c r="F726" s="28"/>
      <c r="G726" s="38"/>
      <c r="H726" s="2">
        <v>24.010850000000001</v>
      </c>
      <c r="I726" s="28"/>
      <c r="J726" s="38"/>
      <c r="L726" s="17"/>
      <c r="M726" s="18"/>
      <c r="N726" s="17"/>
      <c r="O726" s="11"/>
      <c r="P726" s="20"/>
      <c r="Q726" s="23"/>
      <c r="R726" s="24"/>
      <c r="S726" s="12"/>
      <c r="T726" s="17"/>
      <c r="U726" s="19"/>
    </row>
    <row r="727" spans="1:21" ht="16" x14ac:dyDescent="0.2">
      <c r="A727" s="31"/>
      <c r="B727" s="26"/>
      <c r="C727" s="26"/>
      <c r="D727" s="4" t="s">
        <v>9</v>
      </c>
      <c r="E727" s="2">
        <v>143.73580000000001</v>
      </c>
      <c r="F727" s="28"/>
      <c r="G727" s="38"/>
      <c r="H727" s="2">
        <v>21.158649999999998</v>
      </c>
      <c r="I727" s="28"/>
      <c r="J727" s="38"/>
      <c r="L727" s="17"/>
      <c r="M727" s="18"/>
      <c r="N727" s="17"/>
      <c r="O727" s="11"/>
      <c r="P727" s="20"/>
      <c r="Q727" s="23"/>
      <c r="R727" s="24"/>
      <c r="S727" s="12"/>
      <c r="T727" s="17"/>
      <c r="U727" s="19"/>
    </row>
    <row r="728" spans="1:21" ht="16" x14ac:dyDescent="0.2">
      <c r="A728" s="31"/>
      <c r="B728" s="26"/>
      <c r="C728" s="26"/>
      <c r="D728" s="4" t="s">
        <v>10</v>
      </c>
      <c r="E728" s="2">
        <v>156.81977000000001</v>
      </c>
      <c r="F728" s="28"/>
      <c r="G728" s="38"/>
      <c r="H728" s="2">
        <v>28.041799999999999</v>
      </c>
      <c r="I728" s="28"/>
      <c r="J728" s="38"/>
      <c r="L728" s="17"/>
      <c r="M728" s="18"/>
      <c r="N728" s="17"/>
      <c r="O728" s="11"/>
      <c r="P728" s="20"/>
      <c r="Q728" s="23"/>
      <c r="R728" s="24"/>
      <c r="S728" s="12"/>
      <c r="T728" s="17"/>
      <c r="U728" s="19"/>
    </row>
    <row r="729" spans="1:21" ht="16" x14ac:dyDescent="0.2">
      <c r="A729" s="31"/>
      <c r="B729" s="26"/>
      <c r="C729" s="26"/>
      <c r="D729" s="4" t="s">
        <v>11</v>
      </c>
      <c r="E729" s="2">
        <v>152.09621999999999</v>
      </c>
      <c r="F729" s="29"/>
      <c r="G729" s="39"/>
      <c r="H729" s="2">
        <v>22.814350000000001</v>
      </c>
      <c r="I729" s="29"/>
      <c r="J729" s="39"/>
      <c r="L729" s="17"/>
      <c r="M729" s="18"/>
      <c r="N729" s="17"/>
      <c r="O729" s="11"/>
      <c r="P729" s="20"/>
      <c r="Q729" s="23"/>
      <c r="R729" s="24"/>
      <c r="S729" s="12"/>
      <c r="T729" s="17"/>
      <c r="U729" s="19"/>
    </row>
    <row r="730" spans="1:21" ht="16" x14ac:dyDescent="0.2">
      <c r="A730" s="31"/>
      <c r="B730" s="33">
        <v>3</v>
      </c>
      <c r="C730" s="26">
        <v>1</v>
      </c>
      <c r="D730" s="4" t="s">
        <v>7</v>
      </c>
      <c r="E730" s="2">
        <v>85.129159999999999</v>
      </c>
      <c r="F730" s="27">
        <f t="shared" ref="F730" si="598">AVERAGE(E730:E734)</f>
        <v>112.561618</v>
      </c>
      <c r="G730" s="37">
        <f>AVERAGE(F730:F754)</f>
        <v>130.3981344</v>
      </c>
      <c r="H730" s="2">
        <v>30.344029999999997</v>
      </c>
      <c r="I730" s="27">
        <f t="shared" ref="I730" si="599">AVERAGE(H730:H734)</f>
        <v>20.305104</v>
      </c>
      <c r="J730" s="37">
        <f t="shared" ref="J730" si="600">AVERAGE(I730:I754)</f>
        <v>24.1161064</v>
      </c>
      <c r="L730" s="17"/>
      <c r="M730" s="18"/>
      <c r="N730" s="17"/>
      <c r="O730" s="11"/>
      <c r="P730" s="20"/>
      <c r="Q730" s="23"/>
      <c r="R730" s="24"/>
      <c r="S730" s="12"/>
      <c r="T730" s="17"/>
      <c r="U730" s="19"/>
    </row>
    <row r="731" spans="1:21" ht="16" x14ac:dyDescent="0.2">
      <c r="A731" s="31"/>
      <c r="B731" s="33"/>
      <c r="C731" s="26"/>
      <c r="D731" s="4" t="s">
        <v>8</v>
      </c>
      <c r="E731" s="2">
        <v>136.2516</v>
      </c>
      <c r="F731" s="28"/>
      <c r="G731" s="38"/>
      <c r="H731" s="2">
        <v>24.56391</v>
      </c>
      <c r="I731" s="28"/>
      <c r="J731" s="38"/>
      <c r="L731" s="17"/>
      <c r="M731" s="18"/>
      <c r="N731" s="17"/>
      <c r="O731" s="11"/>
      <c r="P731" s="20"/>
      <c r="Q731" s="23"/>
      <c r="R731" s="24"/>
      <c r="S731" s="12"/>
      <c r="T731" s="17"/>
      <c r="U731" s="19"/>
    </row>
    <row r="732" spans="1:21" ht="16" x14ac:dyDescent="0.2">
      <c r="A732" s="31"/>
      <c r="B732" s="33"/>
      <c r="C732" s="26"/>
      <c r="D732" s="4" t="s">
        <v>9</v>
      </c>
      <c r="E732" s="2">
        <v>98.990480000000005</v>
      </c>
      <c r="F732" s="28"/>
      <c r="G732" s="38"/>
      <c r="H732" s="2">
        <v>14.677919999999999</v>
      </c>
      <c r="I732" s="28"/>
      <c r="J732" s="38"/>
      <c r="L732" s="17"/>
      <c r="M732" s="18"/>
      <c r="N732" s="17"/>
      <c r="O732" s="11"/>
      <c r="P732" s="20"/>
      <c r="Q732" s="23"/>
      <c r="R732" s="24"/>
      <c r="S732" s="12"/>
      <c r="T732" s="17"/>
      <c r="U732" s="19"/>
    </row>
    <row r="733" spans="1:21" ht="16" x14ac:dyDescent="0.2">
      <c r="A733" s="31"/>
      <c r="B733" s="33"/>
      <c r="C733" s="26"/>
      <c r="D733" s="4" t="s">
        <v>10</v>
      </c>
      <c r="E733" s="2">
        <v>90.020330000000001</v>
      </c>
      <c r="F733" s="28"/>
      <c r="G733" s="38"/>
      <c r="H733" s="2">
        <v>13.190760000000001</v>
      </c>
      <c r="I733" s="28"/>
      <c r="J733" s="38"/>
      <c r="L733" s="17"/>
      <c r="M733" s="18"/>
      <c r="N733" s="17"/>
      <c r="O733" s="11"/>
      <c r="P733" s="20"/>
      <c r="Q733" s="23"/>
      <c r="R733" s="24"/>
      <c r="S733" s="12"/>
      <c r="T733" s="17"/>
      <c r="U733" s="19"/>
    </row>
    <row r="734" spans="1:21" ht="16" x14ac:dyDescent="0.2">
      <c r="A734" s="31"/>
      <c r="B734" s="33"/>
      <c r="C734" s="26"/>
      <c r="D734" s="4" t="s">
        <v>11</v>
      </c>
      <c r="E734" s="2">
        <v>152.41651999999999</v>
      </c>
      <c r="F734" s="29"/>
      <c r="G734" s="38"/>
      <c r="H734" s="2">
        <v>18.748900000000003</v>
      </c>
      <c r="I734" s="29"/>
      <c r="J734" s="38"/>
      <c r="L734" s="17"/>
      <c r="M734" s="18"/>
      <c r="N734" s="17"/>
      <c r="O734" s="11"/>
      <c r="P734" s="20"/>
      <c r="Q734" s="23"/>
      <c r="R734" s="24"/>
      <c r="S734" s="12"/>
      <c r="T734" s="17"/>
      <c r="U734" s="19"/>
    </row>
    <row r="735" spans="1:21" ht="16" x14ac:dyDescent="0.2">
      <c r="A735" s="31"/>
      <c r="B735" s="33"/>
      <c r="C735" s="26">
        <v>2</v>
      </c>
      <c r="D735" s="4" t="s">
        <v>7</v>
      </c>
      <c r="E735" s="2">
        <v>98.816540000000003</v>
      </c>
      <c r="F735" s="27">
        <f t="shared" ref="F735" si="601">AVERAGE(E735:E739)</f>
        <v>118.81741400000001</v>
      </c>
      <c r="G735" s="38"/>
      <c r="H735" s="2">
        <v>19.89011</v>
      </c>
      <c r="I735" s="27">
        <f t="shared" ref="I735" si="602">AVERAGE(H735:H739)</f>
        <v>20.808026000000002</v>
      </c>
      <c r="J735" s="38"/>
      <c r="L735" s="17"/>
      <c r="M735" s="18"/>
      <c r="N735" s="17"/>
      <c r="O735" s="11"/>
      <c r="P735" s="20"/>
      <c r="Q735" s="23"/>
      <c r="R735" s="24"/>
      <c r="S735" s="12"/>
      <c r="T735" s="17"/>
      <c r="U735" s="19"/>
    </row>
    <row r="736" spans="1:21" ht="16" x14ac:dyDescent="0.2">
      <c r="A736" s="31"/>
      <c r="B736" s="33"/>
      <c r="C736" s="26"/>
      <c r="D736" s="4" t="s">
        <v>8</v>
      </c>
      <c r="E736" s="2">
        <v>94.722250000000003</v>
      </c>
      <c r="F736" s="28"/>
      <c r="G736" s="38"/>
      <c r="H736" s="2">
        <v>20.68901</v>
      </c>
      <c r="I736" s="28"/>
      <c r="J736" s="38"/>
      <c r="L736" s="17"/>
      <c r="M736" s="18"/>
      <c r="N736" s="17"/>
      <c r="O736" s="11"/>
      <c r="P736" s="20"/>
      <c r="Q736" s="23"/>
      <c r="R736" s="24"/>
      <c r="S736" s="12"/>
      <c r="T736" s="17"/>
      <c r="U736" s="19"/>
    </row>
    <row r="737" spans="1:21" ht="16" x14ac:dyDescent="0.2">
      <c r="A737" s="31"/>
      <c r="B737" s="33"/>
      <c r="C737" s="26"/>
      <c r="D737" s="4" t="s">
        <v>9</v>
      </c>
      <c r="E737" s="2">
        <v>98.814940000000007</v>
      </c>
      <c r="F737" s="28"/>
      <c r="G737" s="38"/>
      <c r="H737" s="2">
        <v>29.564450000000001</v>
      </c>
      <c r="I737" s="28"/>
      <c r="J737" s="38"/>
      <c r="L737" s="17"/>
      <c r="M737" s="18"/>
      <c r="N737" s="17"/>
      <c r="O737" s="11"/>
      <c r="P737" s="20"/>
      <c r="Q737" s="23"/>
      <c r="R737" s="24"/>
      <c r="S737" s="12"/>
      <c r="T737" s="17"/>
      <c r="U737" s="19"/>
    </row>
    <row r="738" spans="1:21" ht="16" x14ac:dyDescent="0.2">
      <c r="A738" s="31"/>
      <c r="B738" s="33"/>
      <c r="C738" s="26"/>
      <c r="D738" s="4" t="s">
        <v>10</v>
      </c>
      <c r="E738" s="2">
        <v>169.83559000000002</v>
      </c>
      <c r="F738" s="28"/>
      <c r="G738" s="38"/>
      <c r="H738" s="2">
        <v>15.934229999999999</v>
      </c>
      <c r="I738" s="28"/>
      <c r="J738" s="38"/>
      <c r="L738" s="17"/>
      <c r="M738" s="18"/>
      <c r="N738" s="17"/>
      <c r="O738" s="11"/>
      <c r="P738" s="20"/>
      <c r="Q738" s="23"/>
      <c r="R738" s="24"/>
      <c r="S738" s="12"/>
      <c r="T738" s="17"/>
      <c r="U738" s="19"/>
    </row>
    <row r="739" spans="1:21" ht="16" x14ac:dyDescent="0.2">
      <c r="A739" s="31"/>
      <c r="B739" s="33"/>
      <c r="C739" s="26"/>
      <c r="D739" s="4" t="s">
        <v>11</v>
      </c>
      <c r="E739" s="2">
        <v>131.89775</v>
      </c>
      <c r="F739" s="29"/>
      <c r="G739" s="38"/>
      <c r="H739" s="2">
        <v>17.962329999999998</v>
      </c>
      <c r="I739" s="29"/>
      <c r="J739" s="38"/>
      <c r="L739" s="17"/>
      <c r="M739" s="18"/>
      <c r="N739" s="17"/>
      <c r="O739" s="11"/>
      <c r="P739" s="20"/>
      <c r="Q739" s="23"/>
      <c r="R739" s="24"/>
      <c r="S739" s="12"/>
      <c r="T739" s="17"/>
      <c r="U739" s="19"/>
    </row>
    <row r="740" spans="1:21" ht="16" x14ac:dyDescent="0.2">
      <c r="A740" s="31"/>
      <c r="B740" s="33"/>
      <c r="C740" s="26">
        <v>3</v>
      </c>
      <c r="D740" s="4" t="s">
        <v>7</v>
      </c>
      <c r="E740" s="2">
        <v>97.740480000000005</v>
      </c>
      <c r="F740" s="27">
        <f t="shared" ref="F740" si="603">AVERAGE(E740:E744)</f>
        <v>108.78696400000001</v>
      </c>
      <c r="G740" s="38"/>
      <c r="H740" s="2">
        <v>17.72045</v>
      </c>
      <c r="I740" s="27">
        <f t="shared" ref="I740" si="604">AVERAGE(H740:H744)</f>
        <v>22.519476000000001</v>
      </c>
      <c r="J740" s="38"/>
      <c r="L740" s="17"/>
      <c r="M740" s="18"/>
      <c r="N740" s="17"/>
      <c r="O740" s="11"/>
      <c r="P740" s="20"/>
      <c r="Q740" s="23"/>
      <c r="R740" s="24"/>
      <c r="S740" s="12"/>
      <c r="T740" s="17"/>
      <c r="U740" s="19"/>
    </row>
    <row r="741" spans="1:21" ht="16" x14ac:dyDescent="0.2">
      <c r="A741" s="31"/>
      <c r="B741" s="33"/>
      <c r="C741" s="26"/>
      <c r="D741" s="4" t="s">
        <v>8</v>
      </c>
      <c r="E741" s="2">
        <v>160.12979999999999</v>
      </c>
      <c r="F741" s="28"/>
      <c r="G741" s="38"/>
      <c r="H741" s="2">
        <v>25.578780000000002</v>
      </c>
      <c r="I741" s="28"/>
      <c r="J741" s="38"/>
      <c r="L741" s="17"/>
      <c r="M741" s="18"/>
      <c r="N741" s="17"/>
      <c r="O741" s="11"/>
      <c r="P741" s="20"/>
      <c r="Q741" s="23"/>
      <c r="R741" s="24"/>
      <c r="S741" s="12"/>
      <c r="T741" s="17"/>
      <c r="U741" s="19"/>
    </row>
    <row r="742" spans="1:21" ht="16" x14ac:dyDescent="0.2">
      <c r="A742" s="31"/>
      <c r="B742" s="33"/>
      <c r="C742" s="26"/>
      <c r="D742" s="4" t="s">
        <v>9</v>
      </c>
      <c r="E742" s="2">
        <v>90.732180000000014</v>
      </c>
      <c r="F742" s="28"/>
      <c r="G742" s="38"/>
      <c r="H742" s="2">
        <v>17.967120000000001</v>
      </c>
      <c r="I742" s="28"/>
      <c r="J742" s="38"/>
      <c r="L742" s="17"/>
      <c r="M742" s="18"/>
      <c r="N742" s="17"/>
      <c r="O742" s="11"/>
      <c r="P742" s="20"/>
      <c r="Q742" s="23"/>
      <c r="R742" s="24"/>
      <c r="S742" s="12"/>
      <c r="T742" s="17"/>
      <c r="U742" s="19"/>
    </row>
    <row r="743" spans="1:21" ht="16" x14ac:dyDescent="0.2">
      <c r="A743" s="31"/>
      <c r="B743" s="33"/>
      <c r="C743" s="26"/>
      <c r="D743" s="4" t="s">
        <v>10</v>
      </c>
      <c r="E743" s="2">
        <v>96.822870000000009</v>
      </c>
      <c r="F743" s="28"/>
      <c r="G743" s="38"/>
      <c r="H743" s="2">
        <v>27.72045</v>
      </c>
      <c r="I743" s="28"/>
      <c r="J743" s="38"/>
      <c r="L743" s="17"/>
      <c r="M743" s="18"/>
      <c r="N743" s="17"/>
      <c r="O743" s="11"/>
      <c r="P743" s="20"/>
      <c r="Q743" s="23"/>
      <c r="R743" s="24"/>
      <c r="S743" s="12"/>
      <c r="T743" s="17"/>
      <c r="U743" s="19"/>
    </row>
    <row r="744" spans="1:21" ht="16" x14ac:dyDescent="0.2">
      <c r="A744" s="31"/>
      <c r="B744" s="33"/>
      <c r="C744" s="26"/>
      <c r="D744" s="4" t="s">
        <v>11</v>
      </c>
      <c r="E744" s="2">
        <v>98.50949</v>
      </c>
      <c r="F744" s="29"/>
      <c r="G744" s="38"/>
      <c r="H744" s="2">
        <v>23.610579999999999</v>
      </c>
      <c r="I744" s="29"/>
      <c r="J744" s="38"/>
      <c r="L744" s="17"/>
      <c r="M744" s="18"/>
      <c r="N744" s="17"/>
      <c r="O744" s="11"/>
      <c r="P744" s="20"/>
      <c r="Q744" s="23"/>
      <c r="R744" s="24"/>
      <c r="S744" s="12"/>
      <c r="T744" s="17"/>
      <c r="U744" s="19"/>
    </row>
    <row r="745" spans="1:21" ht="16" x14ac:dyDescent="0.2">
      <c r="A745" s="31"/>
      <c r="B745" s="33"/>
      <c r="C745" s="26">
        <v>4</v>
      </c>
      <c r="D745" s="4" t="s">
        <v>7</v>
      </c>
      <c r="E745" s="2">
        <v>166.79092</v>
      </c>
      <c r="F745" s="27">
        <f t="shared" ref="F745" si="605">AVERAGE(E745:E749)</f>
        <v>168.313108</v>
      </c>
      <c r="G745" s="38"/>
      <c r="H745" s="2">
        <v>28.194510000000001</v>
      </c>
      <c r="I745" s="27">
        <f t="shared" ref="I745" si="606">AVERAGE(H745:H749)</f>
        <v>36.829120000000003</v>
      </c>
      <c r="J745" s="38"/>
      <c r="L745" s="17"/>
      <c r="M745" s="18"/>
      <c r="N745" s="17"/>
      <c r="O745" s="11"/>
      <c r="P745" s="20"/>
      <c r="Q745" s="23"/>
      <c r="R745" s="24"/>
      <c r="S745" s="12"/>
      <c r="T745" s="17"/>
      <c r="U745" s="19"/>
    </row>
    <row r="746" spans="1:21" ht="16" x14ac:dyDescent="0.2">
      <c r="A746" s="31"/>
      <c r="B746" s="33"/>
      <c r="C746" s="26"/>
      <c r="D746" s="4" t="s">
        <v>8</v>
      </c>
      <c r="E746" s="2">
        <v>158.31267</v>
      </c>
      <c r="F746" s="28"/>
      <c r="G746" s="38"/>
      <c r="H746" s="2">
        <v>17.723779999999998</v>
      </c>
      <c r="I746" s="28"/>
      <c r="J746" s="38"/>
      <c r="L746" s="17"/>
      <c r="M746" s="18"/>
      <c r="N746" s="17"/>
      <c r="O746" s="11"/>
      <c r="P746" s="20"/>
      <c r="Q746" s="23"/>
      <c r="R746" s="24"/>
      <c r="S746" s="12"/>
      <c r="T746" s="17"/>
      <c r="U746" s="19"/>
    </row>
    <row r="747" spans="1:21" ht="16" x14ac:dyDescent="0.2">
      <c r="A747" s="31"/>
      <c r="B747" s="33"/>
      <c r="C747" s="26"/>
      <c r="D747" s="4" t="s">
        <v>9</v>
      </c>
      <c r="E747" s="2">
        <v>172.33126000000001</v>
      </c>
      <c r="F747" s="28"/>
      <c r="G747" s="38"/>
      <c r="H747" s="2">
        <v>22.881070000000001</v>
      </c>
      <c r="I747" s="28"/>
      <c r="J747" s="38"/>
      <c r="L747" s="17"/>
      <c r="M747" s="18"/>
      <c r="N747" s="17"/>
      <c r="O747" s="11"/>
      <c r="P747" s="20"/>
      <c r="Q747" s="23"/>
      <c r="R747" s="24"/>
      <c r="S747" s="12"/>
      <c r="T747" s="17"/>
      <c r="U747" s="19"/>
    </row>
    <row r="748" spans="1:21" ht="16" x14ac:dyDescent="0.2">
      <c r="A748" s="31"/>
      <c r="B748" s="33"/>
      <c r="C748" s="26"/>
      <c r="D748" s="4" t="s">
        <v>10</v>
      </c>
      <c r="E748" s="2">
        <v>172.98758999999998</v>
      </c>
      <c r="F748" s="28"/>
      <c r="G748" s="38"/>
      <c r="H748" s="2">
        <v>98.316399999999987</v>
      </c>
      <c r="I748" s="28"/>
      <c r="J748" s="38"/>
      <c r="L748" s="17"/>
      <c r="M748" s="18"/>
      <c r="N748" s="17"/>
      <c r="O748" s="11"/>
      <c r="P748" s="20"/>
      <c r="Q748" s="23"/>
      <c r="R748" s="24"/>
      <c r="S748" s="12"/>
      <c r="T748" s="17"/>
      <c r="U748" s="19"/>
    </row>
    <row r="749" spans="1:21" ht="16" x14ac:dyDescent="0.2">
      <c r="A749" s="31"/>
      <c r="B749" s="33"/>
      <c r="C749" s="26"/>
      <c r="D749" s="4" t="s">
        <v>11</v>
      </c>
      <c r="E749" s="2">
        <v>171.1431</v>
      </c>
      <c r="F749" s="29"/>
      <c r="G749" s="38"/>
      <c r="H749" s="2">
        <v>17.02984</v>
      </c>
      <c r="I749" s="29"/>
      <c r="J749" s="38"/>
      <c r="L749" s="17"/>
      <c r="M749" s="18"/>
      <c r="N749" s="17"/>
      <c r="O749" s="11"/>
      <c r="P749" s="20"/>
      <c r="Q749" s="23"/>
      <c r="R749" s="24"/>
      <c r="S749" s="12"/>
      <c r="T749" s="17"/>
      <c r="U749" s="19"/>
    </row>
    <row r="750" spans="1:21" ht="16" x14ac:dyDescent="0.2">
      <c r="A750" s="31"/>
      <c r="B750" s="33"/>
      <c r="C750" s="26">
        <v>5</v>
      </c>
      <c r="D750" s="4" t="s">
        <v>7</v>
      </c>
      <c r="E750" s="2">
        <v>168.17534000000001</v>
      </c>
      <c r="F750" s="27">
        <f t="shared" ref="F750" si="607">AVERAGE(E750:E754)</f>
        <v>143.51156799999998</v>
      </c>
      <c r="G750" s="38"/>
      <c r="H750" s="2">
        <v>24.507559999999998</v>
      </c>
      <c r="I750" s="27">
        <f t="shared" ref="I750" si="608">AVERAGE(H750:H754)</f>
        <v>20.118805999999999</v>
      </c>
      <c r="J750" s="38"/>
      <c r="L750" s="17"/>
      <c r="M750" s="18"/>
      <c r="N750" s="17"/>
      <c r="O750" s="11"/>
      <c r="P750" s="20"/>
      <c r="Q750" s="23"/>
      <c r="R750" s="24"/>
      <c r="S750" s="12"/>
      <c r="T750" s="17"/>
      <c r="U750" s="19"/>
    </row>
    <row r="751" spans="1:21" ht="16" x14ac:dyDescent="0.2">
      <c r="A751" s="31"/>
      <c r="B751" s="33"/>
      <c r="C751" s="26"/>
      <c r="D751" s="4" t="s">
        <v>8</v>
      </c>
      <c r="E751" s="2">
        <v>140.66897</v>
      </c>
      <c r="F751" s="28"/>
      <c r="G751" s="38"/>
      <c r="H751" s="2">
        <v>25.470549999999999</v>
      </c>
      <c r="I751" s="28"/>
      <c r="J751" s="38"/>
      <c r="L751" s="17"/>
      <c r="M751" s="18"/>
      <c r="N751" s="17"/>
      <c r="O751" s="11"/>
      <c r="P751" s="20"/>
      <c r="Q751" s="23"/>
      <c r="R751" s="24"/>
      <c r="S751" s="12"/>
      <c r="T751" s="17"/>
      <c r="U751" s="19"/>
    </row>
    <row r="752" spans="1:21" ht="16" x14ac:dyDescent="0.2">
      <c r="A752" s="31"/>
      <c r="B752" s="33"/>
      <c r="C752" s="26"/>
      <c r="D752" s="4" t="s">
        <v>9</v>
      </c>
      <c r="E752" s="2">
        <v>154.04399000000001</v>
      </c>
      <c r="F752" s="28"/>
      <c r="G752" s="38"/>
      <c r="H752" s="2">
        <v>22.83071</v>
      </c>
      <c r="I752" s="28"/>
      <c r="J752" s="38"/>
      <c r="L752" s="17"/>
      <c r="M752" s="18"/>
      <c r="N752" s="17"/>
      <c r="O752" s="11"/>
      <c r="P752" s="20"/>
      <c r="Q752" s="23"/>
      <c r="R752" s="24"/>
      <c r="S752" s="12"/>
      <c r="T752" s="17"/>
      <c r="U752" s="19"/>
    </row>
    <row r="753" spans="1:21" ht="16" x14ac:dyDescent="0.2">
      <c r="A753" s="31"/>
      <c r="B753" s="33"/>
      <c r="C753" s="26"/>
      <c r="D753" s="4" t="s">
        <v>10</v>
      </c>
      <c r="E753" s="2">
        <v>120.38305</v>
      </c>
      <c r="F753" s="28"/>
      <c r="G753" s="38"/>
      <c r="H753" s="2">
        <v>12.01586</v>
      </c>
      <c r="I753" s="28"/>
      <c r="J753" s="38"/>
      <c r="L753" s="17"/>
      <c r="M753" s="18"/>
      <c r="N753" s="17"/>
      <c r="O753" s="11"/>
      <c r="P753" s="20"/>
      <c r="Q753" s="23"/>
      <c r="R753" s="24"/>
      <c r="S753" s="12"/>
      <c r="T753" s="17"/>
      <c r="U753" s="19"/>
    </row>
    <row r="754" spans="1:21" ht="16" x14ac:dyDescent="0.2">
      <c r="A754" s="32"/>
      <c r="B754" s="33"/>
      <c r="C754" s="26"/>
      <c r="D754" s="4" t="s">
        <v>11</v>
      </c>
      <c r="E754" s="2">
        <v>134.28648999999999</v>
      </c>
      <c r="F754" s="29"/>
      <c r="G754" s="39"/>
      <c r="H754" s="2">
        <v>15.769349999999999</v>
      </c>
      <c r="I754" s="29"/>
      <c r="J754" s="39"/>
      <c r="L754" s="17"/>
      <c r="M754" s="18"/>
      <c r="N754" s="17"/>
      <c r="O754" s="11"/>
      <c r="P754" s="20"/>
      <c r="Q754" s="23"/>
      <c r="R754" s="24"/>
      <c r="S754" s="12"/>
      <c r="T754" s="17"/>
      <c r="U754" s="19"/>
    </row>
    <row r="755" spans="1:21" ht="16" x14ac:dyDescent="0.2">
      <c r="A755" s="30" t="s">
        <v>15</v>
      </c>
      <c r="B755" s="33">
        <v>1</v>
      </c>
      <c r="C755" s="26">
        <v>1</v>
      </c>
      <c r="D755" s="4" t="s">
        <v>7</v>
      </c>
      <c r="E755" s="2">
        <v>154.85748000000001</v>
      </c>
      <c r="F755" s="27">
        <f t="shared" ref="F755" si="609">AVERAGE(E755:E759)</f>
        <v>102.49748800000002</v>
      </c>
      <c r="G755" s="37">
        <f>AVERAGE(F755:F779)</f>
        <v>131.89190960000002</v>
      </c>
      <c r="H755" s="2">
        <v>31.1875</v>
      </c>
      <c r="I755" s="27">
        <f t="shared" ref="I755" si="610">AVERAGE(H755:H759)</f>
        <v>29.784245999999996</v>
      </c>
      <c r="J755" s="37">
        <f t="shared" ref="J755" si="611">AVERAGE(I755:I779)</f>
        <v>24.339032400000001</v>
      </c>
      <c r="L755" s="17"/>
      <c r="M755" s="18"/>
      <c r="N755" s="17"/>
      <c r="O755" s="11"/>
      <c r="P755" s="20"/>
      <c r="Q755" s="23"/>
      <c r="R755" s="24"/>
      <c r="S755" s="12"/>
      <c r="T755" s="17"/>
      <c r="U755" s="19"/>
    </row>
    <row r="756" spans="1:21" ht="16" x14ac:dyDescent="0.2">
      <c r="A756" s="31"/>
      <c r="B756" s="33"/>
      <c r="C756" s="26"/>
      <c r="D756" s="4" t="s">
        <v>8</v>
      </c>
      <c r="E756" s="2">
        <v>82.616129999999998</v>
      </c>
      <c r="F756" s="28"/>
      <c r="G756" s="38"/>
      <c r="H756" s="2">
        <v>13.49854</v>
      </c>
      <c r="I756" s="28"/>
      <c r="J756" s="38"/>
      <c r="L756" s="17"/>
      <c r="M756" s="18"/>
      <c r="N756" s="17"/>
      <c r="O756" s="11"/>
      <c r="P756" s="20"/>
      <c r="Q756" s="23"/>
      <c r="R756" s="24"/>
      <c r="S756" s="12"/>
      <c r="T756" s="17"/>
      <c r="U756" s="19"/>
    </row>
    <row r="757" spans="1:21" ht="16" x14ac:dyDescent="0.2">
      <c r="A757" s="31"/>
      <c r="B757" s="33"/>
      <c r="C757" s="26"/>
      <c r="D757" s="4" t="s">
        <v>9</v>
      </c>
      <c r="E757" s="2">
        <v>85.34599</v>
      </c>
      <c r="F757" s="28"/>
      <c r="G757" s="38"/>
      <c r="H757" s="2">
        <v>21.343060000000001</v>
      </c>
      <c r="I757" s="28"/>
      <c r="J757" s="38"/>
      <c r="L757" s="17"/>
      <c r="M757" s="18"/>
      <c r="N757" s="17"/>
      <c r="O757" s="11"/>
      <c r="P757" s="20"/>
      <c r="Q757" s="23"/>
      <c r="R757" s="24"/>
      <c r="S757" s="12"/>
      <c r="T757" s="17"/>
      <c r="U757" s="19"/>
    </row>
    <row r="758" spans="1:21" ht="16" x14ac:dyDescent="0.2">
      <c r="A758" s="31"/>
      <c r="B758" s="33"/>
      <c r="C758" s="26"/>
      <c r="D758" s="4" t="s">
        <v>10</v>
      </c>
      <c r="E758" s="2">
        <v>109.00693</v>
      </c>
      <c r="F758" s="28"/>
      <c r="G758" s="38"/>
      <c r="H758" s="2">
        <v>22.484650000000002</v>
      </c>
      <c r="I758" s="28"/>
      <c r="J758" s="38"/>
      <c r="L758" s="17"/>
      <c r="M758" s="18"/>
      <c r="N758" s="17"/>
      <c r="O758" s="11"/>
      <c r="P758" s="20"/>
      <c r="Q758" s="23"/>
      <c r="R758" s="24"/>
      <c r="S758" s="12"/>
      <c r="T758" s="17"/>
      <c r="U758" s="19"/>
    </row>
    <row r="759" spans="1:21" ht="16" x14ac:dyDescent="0.2">
      <c r="A759" s="31"/>
      <c r="B759" s="33"/>
      <c r="C759" s="26"/>
      <c r="D759" s="4" t="s">
        <v>11</v>
      </c>
      <c r="E759" s="2">
        <v>80.660910000000001</v>
      </c>
      <c r="F759" s="29"/>
      <c r="G759" s="38"/>
      <c r="H759" s="2">
        <v>60.407479999999993</v>
      </c>
      <c r="I759" s="29"/>
      <c r="J759" s="38"/>
      <c r="L759" s="17"/>
      <c r="M759" s="18"/>
      <c r="N759" s="17"/>
      <c r="O759" s="11"/>
      <c r="P759" s="20"/>
      <c r="Q759" s="23"/>
      <c r="R759" s="24"/>
      <c r="S759" s="12"/>
      <c r="T759" s="17"/>
      <c r="U759" s="19"/>
    </row>
    <row r="760" spans="1:21" ht="16" x14ac:dyDescent="0.2">
      <c r="A760" s="31"/>
      <c r="B760" s="33"/>
      <c r="C760" s="26">
        <v>2</v>
      </c>
      <c r="D760" s="4" t="s">
        <v>7</v>
      </c>
      <c r="E760" s="2">
        <v>106.29109</v>
      </c>
      <c r="F760" s="27">
        <f t="shared" ref="F760" si="612">AVERAGE(E760:E764)</f>
        <v>118.80609399999999</v>
      </c>
      <c r="G760" s="38"/>
      <c r="H760" s="2">
        <v>28.978200000000001</v>
      </c>
      <c r="I760" s="27">
        <f t="shared" ref="I760" si="613">AVERAGE(H760:H764)</f>
        <v>28.953208</v>
      </c>
      <c r="J760" s="38"/>
      <c r="L760" s="17"/>
      <c r="M760" s="18"/>
      <c r="N760" s="17"/>
      <c r="O760" s="11"/>
      <c r="P760" s="20"/>
      <c r="Q760" s="23"/>
      <c r="R760" s="24"/>
      <c r="S760" s="12"/>
      <c r="T760" s="17"/>
      <c r="U760" s="19"/>
    </row>
    <row r="761" spans="1:21" ht="16" x14ac:dyDescent="0.2">
      <c r="A761" s="31"/>
      <c r="B761" s="33"/>
      <c r="C761" s="26"/>
      <c r="D761" s="4" t="s">
        <v>8</v>
      </c>
      <c r="E761" s="2">
        <v>100.29328</v>
      </c>
      <c r="F761" s="28"/>
      <c r="G761" s="38"/>
      <c r="H761" s="2">
        <v>20.54073</v>
      </c>
      <c r="I761" s="28"/>
      <c r="J761" s="38"/>
      <c r="L761" s="17"/>
      <c r="M761" s="18"/>
      <c r="N761" s="17"/>
      <c r="O761" s="11"/>
      <c r="P761" s="20"/>
      <c r="Q761" s="23"/>
      <c r="R761" s="24"/>
      <c r="S761" s="12"/>
      <c r="T761" s="17"/>
      <c r="U761" s="19"/>
    </row>
    <row r="762" spans="1:21" ht="16" x14ac:dyDescent="0.2">
      <c r="A762" s="31"/>
      <c r="B762" s="33"/>
      <c r="C762" s="26"/>
      <c r="D762" s="4" t="s">
        <v>9</v>
      </c>
      <c r="E762" s="2">
        <v>165.21683000000002</v>
      </c>
      <c r="F762" s="28"/>
      <c r="G762" s="38"/>
      <c r="H762" s="2">
        <v>33.070169999999997</v>
      </c>
      <c r="I762" s="28"/>
      <c r="J762" s="38"/>
      <c r="L762" s="17"/>
      <c r="M762" s="18"/>
      <c r="N762" s="17"/>
      <c r="O762" s="11"/>
      <c r="P762" s="20"/>
      <c r="Q762" s="23"/>
      <c r="R762" s="24"/>
      <c r="S762" s="12"/>
      <c r="T762" s="17"/>
      <c r="U762" s="19"/>
    </row>
    <row r="763" spans="1:21" ht="16" x14ac:dyDescent="0.2">
      <c r="A763" s="31"/>
      <c r="B763" s="33"/>
      <c r="C763" s="26"/>
      <c r="D763" s="4" t="s">
        <v>10</v>
      </c>
      <c r="E763" s="2">
        <v>123.48654000000001</v>
      </c>
      <c r="F763" s="28"/>
      <c r="G763" s="38"/>
      <c r="H763" s="2">
        <v>25.939050000000002</v>
      </c>
      <c r="I763" s="28"/>
      <c r="J763" s="38"/>
      <c r="L763" s="17"/>
      <c r="M763" s="18"/>
      <c r="N763" s="17"/>
      <c r="O763" s="11"/>
      <c r="P763" s="20"/>
      <c r="Q763" s="23"/>
      <c r="R763" s="24"/>
      <c r="S763" s="12"/>
      <c r="T763" s="17"/>
      <c r="U763" s="19"/>
    </row>
    <row r="764" spans="1:21" ht="16" x14ac:dyDescent="0.2">
      <c r="A764" s="31"/>
      <c r="B764" s="33"/>
      <c r="C764" s="26"/>
      <c r="D764" s="4" t="s">
        <v>11</v>
      </c>
      <c r="E764" s="2">
        <v>98.742729999999995</v>
      </c>
      <c r="F764" s="29"/>
      <c r="G764" s="38"/>
      <c r="H764" s="2">
        <v>36.23789</v>
      </c>
      <c r="I764" s="29"/>
      <c r="J764" s="38"/>
      <c r="L764" s="17"/>
      <c r="M764" s="18"/>
      <c r="N764" s="17"/>
      <c r="O764" s="11"/>
      <c r="P764" s="20"/>
      <c r="Q764" s="23"/>
      <c r="R764" s="24"/>
      <c r="S764" s="12"/>
      <c r="T764" s="17"/>
      <c r="U764" s="19"/>
    </row>
    <row r="765" spans="1:21" ht="16" x14ac:dyDescent="0.2">
      <c r="A765" s="31"/>
      <c r="B765" s="33"/>
      <c r="C765" s="26">
        <v>3</v>
      </c>
      <c r="D765" s="4" t="s">
        <v>7</v>
      </c>
      <c r="E765" s="2">
        <v>136.14215999999999</v>
      </c>
      <c r="F765" s="27">
        <f t="shared" ref="F765" si="614">AVERAGE(E765:E769)</f>
        <v>132.06967400000002</v>
      </c>
      <c r="G765" s="38"/>
      <c r="H765" s="2">
        <v>23.507559999999998</v>
      </c>
      <c r="I765" s="27">
        <f t="shared" ref="I765" si="615">AVERAGE(H765:H769)</f>
        <v>21.411144</v>
      </c>
      <c r="J765" s="38"/>
      <c r="L765" s="17"/>
      <c r="M765" s="18"/>
      <c r="N765" s="17"/>
      <c r="O765" s="11"/>
      <c r="P765" s="20"/>
      <c r="Q765" s="23"/>
      <c r="R765" s="24"/>
      <c r="S765" s="12"/>
      <c r="T765" s="17"/>
      <c r="U765" s="19"/>
    </row>
    <row r="766" spans="1:21" ht="16" x14ac:dyDescent="0.2">
      <c r="A766" s="31"/>
      <c r="B766" s="33"/>
      <c r="C766" s="26"/>
      <c r="D766" s="4" t="s">
        <v>8</v>
      </c>
      <c r="E766" s="2">
        <v>127.85162</v>
      </c>
      <c r="F766" s="28"/>
      <c r="G766" s="38"/>
      <c r="H766" s="2">
        <v>19.3231</v>
      </c>
      <c r="I766" s="28"/>
      <c r="J766" s="38"/>
      <c r="L766" s="17"/>
      <c r="M766" s="18"/>
      <c r="N766" s="17"/>
      <c r="O766" s="11"/>
      <c r="P766" s="20"/>
      <c r="Q766" s="23"/>
      <c r="R766" s="24"/>
      <c r="S766" s="12"/>
      <c r="T766" s="17"/>
      <c r="U766" s="19"/>
    </row>
    <row r="767" spans="1:21" ht="16" x14ac:dyDescent="0.2">
      <c r="A767" s="31"/>
      <c r="B767" s="33"/>
      <c r="C767" s="26"/>
      <c r="D767" s="4" t="s">
        <v>9</v>
      </c>
      <c r="E767" s="2">
        <v>143.06924000000001</v>
      </c>
      <c r="F767" s="28"/>
      <c r="G767" s="38"/>
      <c r="H767" s="2">
        <v>17.730979999999999</v>
      </c>
      <c r="I767" s="28"/>
      <c r="J767" s="38"/>
      <c r="L767" s="17"/>
      <c r="M767" s="18"/>
      <c r="N767" s="17"/>
      <c r="O767" s="11"/>
      <c r="P767" s="20"/>
      <c r="Q767" s="23"/>
      <c r="R767" s="24"/>
      <c r="S767" s="12"/>
      <c r="T767" s="17"/>
      <c r="U767" s="19"/>
    </row>
    <row r="768" spans="1:21" ht="16" x14ac:dyDescent="0.2">
      <c r="A768" s="31"/>
      <c r="B768" s="33"/>
      <c r="C768" s="26"/>
      <c r="D768" s="4" t="s">
        <v>10</v>
      </c>
      <c r="E768" s="2">
        <v>123.86242</v>
      </c>
      <c r="F768" s="28"/>
      <c r="G768" s="38"/>
      <c r="H768" s="2">
        <v>19.663489999999999</v>
      </c>
      <c r="I768" s="28"/>
      <c r="J768" s="38"/>
      <c r="L768" s="17"/>
      <c r="M768" s="18"/>
      <c r="N768" s="17"/>
      <c r="O768" s="11"/>
      <c r="P768" s="20"/>
      <c r="Q768" s="23"/>
      <c r="R768" s="24"/>
      <c r="S768" s="12"/>
      <c r="T768" s="17"/>
      <c r="U768" s="19"/>
    </row>
    <row r="769" spans="1:21" ht="16" x14ac:dyDescent="0.2">
      <c r="A769" s="31"/>
      <c r="B769" s="33"/>
      <c r="C769" s="26"/>
      <c r="D769" s="4" t="s">
        <v>11</v>
      </c>
      <c r="E769" s="2">
        <v>129.42293000000001</v>
      </c>
      <c r="F769" s="29"/>
      <c r="G769" s="38"/>
      <c r="H769" s="2">
        <v>26.830590000000001</v>
      </c>
      <c r="I769" s="29"/>
      <c r="J769" s="38"/>
      <c r="L769" s="17"/>
      <c r="M769" s="18"/>
      <c r="N769" s="17"/>
      <c r="O769" s="11"/>
      <c r="P769" s="20"/>
      <c r="Q769" s="23"/>
      <c r="R769" s="24"/>
      <c r="S769" s="12"/>
      <c r="T769" s="17"/>
      <c r="U769" s="19"/>
    </row>
    <row r="770" spans="1:21" ht="16" x14ac:dyDescent="0.2">
      <c r="A770" s="31"/>
      <c r="B770" s="33"/>
      <c r="C770" s="26">
        <v>4</v>
      </c>
      <c r="D770" s="4" t="s">
        <v>7</v>
      </c>
      <c r="E770" s="2">
        <v>178.18893</v>
      </c>
      <c r="F770" s="27">
        <f t="shared" ref="F770" si="616">AVERAGE(E770:E774)</f>
        <v>137.77318399999999</v>
      </c>
      <c r="G770" s="38"/>
      <c r="H770" s="2">
        <v>27.059239999999999</v>
      </c>
      <c r="I770" s="27">
        <f t="shared" ref="I770" si="617">AVERAGE(H770:H774)</f>
        <v>19.767209999999999</v>
      </c>
      <c r="J770" s="38"/>
      <c r="L770" s="17"/>
      <c r="M770" s="18"/>
      <c r="N770" s="17"/>
      <c r="O770" s="11"/>
      <c r="P770" s="20"/>
      <c r="Q770" s="23"/>
      <c r="R770" s="24"/>
      <c r="S770" s="12"/>
      <c r="T770" s="17"/>
      <c r="U770" s="19"/>
    </row>
    <row r="771" spans="1:21" ht="16" x14ac:dyDescent="0.2">
      <c r="A771" s="31"/>
      <c r="B771" s="33"/>
      <c r="C771" s="26"/>
      <c r="D771" s="4" t="s">
        <v>8</v>
      </c>
      <c r="E771" s="2">
        <v>127.94751000000001</v>
      </c>
      <c r="F771" s="28"/>
      <c r="G771" s="38"/>
      <c r="H771" s="2">
        <v>16.837339999999998</v>
      </c>
      <c r="I771" s="28"/>
      <c r="J771" s="38"/>
      <c r="L771" s="17"/>
      <c r="M771" s="18"/>
      <c r="N771" s="17"/>
      <c r="O771" s="11"/>
      <c r="P771" s="20"/>
      <c r="Q771" s="23"/>
      <c r="R771" s="24"/>
      <c r="S771" s="12"/>
      <c r="T771" s="17"/>
      <c r="U771" s="19"/>
    </row>
    <row r="772" spans="1:21" ht="16" x14ac:dyDescent="0.2">
      <c r="A772" s="31"/>
      <c r="B772" s="33"/>
      <c r="C772" s="26"/>
      <c r="D772" s="4" t="s">
        <v>9</v>
      </c>
      <c r="E772" s="2">
        <v>157.38303999999999</v>
      </c>
      <c r="F772" s="28"/>
      <c r="G772" s="38"/>
      <c r="H772" s="2">
        <v>19.005229999999997</v>
      </c>
      <c r="I772" s="28"/>
      <c r="J772" s="38"/>
      <c r="L772" s="17"/>
      <c r="M772" s="18"/>
      <c r="N772" s="17"/>
      <c r="O772" s="11"/>
      <c r="P772" s="20"/>
      <c r="Q772" s="23"/>
      <c r="R772" s="24"/>
      <c r="S772" s="12"/>
      <c r="T772" s="17"/>
      <c r="U772" s="19"/>
    </row>
    <row r="773" spans="1:21" ht="16" x14ac:dyDescent="0.2">
      <c r="A773" s="31"/>
      <c r="B773" s="33"/>
      <c r="C773" s="26"/>
      <c r="D773" s="4" t="s">
        <v>10</v>
      </c>
      <c r="E773" s="2">
        <v>112.34018</v>
      </c>
      <c r="F773" s="28"/>
      <c r="G773" s="38"/>
      <c r="H773" s="2">
        <v>17.967120000000001</v>
      </c>
      <c r="I773" s="28"/>
      <c r="J773" s="38"/>
      <c r="L773" s="17"/>
      <c r="M773" s="18"/>
      <c r="N773" s="17"/>
      <c r="O773" s="11"/>
      <c r="P773" s="20"/>
      <c r="Q773" s="23"/>
      <c r="R773" s="24"/>
      <c r="S773" s="12"/>
      <c r="T773" s="17"/>
      <c r="U773" s="19"/>
    </row>
    <row r="774" spans="1:21" ht="16" x14ac:dyDescent="0.2">
      <c r="A774" s="31"/>
      <c r="B774" s="33"/>
      <c r="C774" s="26"/>
      <c r="D774" s="4" t="s">
        <v>11</v>
      </c>
      <c r="E774" s="2">
        <v>113.00626</v>
      </c>
      <c r="F774" s="29"/>
      <c r="G774" s="38"/>
      <c r="H774" s="2">
        <v>17.967120000000001</v>
      </c>
      <c r="I774" s="29"/>
      <c r="J774" s="38"/>
      <c r="L774" s="17"/>
      <c r="M774" s="18"/>
      <c r="N774" s="17"/>
      <c r="O774" s="11"/>
      <c r="P774" s="20"/>
      <c r="Q774" s="23"/>
      <c r="R774" s="24"/>
      <c r="S774" s="12"/>
      <c r="T774" s="17"/>
      <c r="U774" s="19"/>
    </row>
    <row r="775" spans="1:21" ht="16" x14ac:dyDescent="0.2">
      <c r="A775" s="31"/>
      <c r="B775" s="33"/>
      <c r="C775" s="26">
        <v>5</v>
      </c>
      <c r="D775" s="4" t="s">
        <v>7</v>
      </c>
      <c r="E775" s="2">
        <v>166.79092</v>
      </c>
      <c r="F775" s="27">
        <f t="shared" ref="F775" si="618">AVERAGE(E775:E779)</f>
        <v>168.313108</v>
      </c>
      <c r="G775" s="38"/>
      <c r="H775" s="2">
        <v>22.617109999999997</v>
      </c>
      <c r="I775" s="27">
        <f t="shared" ref="I775" si="619">AVERAGE(H775:H779)</f>
        <v>21.779354000000001</v>
      </c>
      <c r="J775" s="38"/>
      <c r="L775" s="17"/>
      <c r="M775" s="18"/>
      <c r="N775" s="17"/>
      <c r="O775" s="11"/>
      <c r="P775" s="20"/>
      <c r="Q775" s="23"/>
      <c r="R775" s="24"/>
      <c r="S775" s="12"/>
      <c r="T775" s="17"/>
      <c r="U775" s="19"/>
    </row>
    <row r="776" spans="1:21" ht="16" x14ac:dyDescent="0.2">
      <c r="A776" s="31"/>
      <c r="B776" s="33"/>
      <c r="C776" s="26"/>
      <c r="D776" s="4" t="s">
        <v>8</v>
      </c>
      <c r="E776" s="2">
        <v>158.31267</v>
      </c>
      <c r="F776" s="28"/>
      <c r="G776" s="38"/>
      <c r="H776" s="2">
        <v>22.35772</v>
      </c>
      <c r="I776" s="28"/>
      <c r="J776" s="38"/>
      <c r="L776" s="17"/>
      <c r="M776" s="18"/>
      <c r="N776" s="17"/>
      <c r="O776" s="11"/>
      <c r="P776" s="20"/>
      <c r="Q776" s="23"/>
      <c r="R776" s="24"/>
      <c r="S776" s="12"/>
      <c r="T776" s="17"/>
      <c r="U776" s="19"/>
    </row>
    <row r="777" spans="1:21" ht="16" x14ac:dyDescent="0.2">
      <c r="A777" s="31"/>
      <c r="B777" s="33"/>
      <c r="C777" s="26"/>
      <c r="D777" s="4" t="s">
        <v>9</v>
      </c>
      <c r="E777" s="2">
        <v>172.33126000000001</v>
      </c>
      <c r="F777" s="28"/>
      <c r="G777" s="38"/>
      <c r="H777" s="2">
        <v>18.748900000000003</v>
      </c>
      <c r="I777" s="28"/>
      <c r="J777" s="38"/>
      <c r="L777" s="17"/>
      <c r="M777" s="18"/>
      <c r="N777" s="17"/>
      <c r="O777" s="11"/>
      <c r="P777" s="20"/>
      <c r="Q777" s="23"/>
      <c r="R777" s="24"/>
      <c r="S777" s="12"/>
      <c r="T777" s="17"/>
      <c r="U777" s="19"/>
    </row>
    <row r="778" spans="1:21" ht="16" x14ac:dyDescent="0.2">
      <c r="A778" s="31"/>
      <c r="B778" s="33"/>
      <c r="C778" s="26"/>
      <c r="D778" s="4" t="s">
        <v>10</v>
      </c>
      <c r="E778" s="2">
        <v>172.98758999999998</v>
      </c>
      <c r="F778" s="28"/>
      <c r="G778" s="38"/>
      <c r="H778" s="2">
        <v>27.35802</v>
      </c>
      <c r="I778" s="28"/>
      <c r="J778" s="38"/>
      <c r="L778" s="17"/>
      <c r="M778" s="18"/>
      <c r="N778" s="17"/>
      <c r="O778" s="11"/>
      <c r="P778" s="20"/>
      <c r="Q778" s="23"/>
      <c r="R778" s="24"/>
      <c r="S778" s="12"/>
      <c r="T778" s="17"/>
      <c r="U778" s="19"/>
    </row>
    <row r="779" spans="1:21" ht="16" x14ac:dyDescent="0.2">
      <c r="A779" s="31"/>
      <c r="B779" s="33"/>
      <c r="C779" s="26"/>
      <c r="D779" s="4" t="s">
        <v>11</v>
      </c>
      <c r="E779" s="2">
        <v>171.1431</v>
      </c>
      <c r="F779" s="29"/>
      <c r="G779" s="39"/>
      <c r="H779" s="2">
        <v>17.815020000000001</v>
      </c>
      <c r="I779" s="29"/>
      <c r="J779" s="39"/>
      <c r="L779" s="17"/>
      <c r="M779" s="18"/>
      <c r="N779" s="17"/>
      <c r="O779" s="11"/>
      <c r="P779" s="20"/>
      <c r="Q779" s="23"/>
      <c r="R779" s="24"/>
      <c r="S779" s="12"/>
      <c r="T779" s="17"/>
      <c r="U779" s="19"/>
    </row>
    <row r="780" spans="1:21" ht="16" x14ac:dyDescent="0.2">
      <c r="A780" s="31"/>
      <c r="B780" s="33">
        <v>2</v>
      </c>
      <c r="C780" s="26">
        <v>1</v>
      </c>
      <c r="D780" s="4" t="s">
        <v>7</v>
      </c>
      <c r="E780" s="2">
        <v>168.17534000000001</v>
      </c>
      <c r="F780" s="27">
        <f t="shared" ref="F780" si="620">AVERAGE(E780:E784)</f>
        <v>143.51156799999998</v>
      </c>
      <c r="G780" s="37">
        <f>AVERAGE(F780:F804)</f>
        <v>144.23582039999999</v>
      </c>
      <c r="H780" s="2">
        <v>18.952400000000001</v>
      </c>
      <c r="I780" s="27">
        <f t="shared" ref="I780" si="621">AVERAGE(H780:H784)</f>
        <v>23.237262000000005</v>
      </c>
      <c r="J780" s="37">
        <f t="shared" ref="J780" si="622">AVERAGE(I780:I804)</f>
        <v>23.7664464</v>
      </c>
      <c r="L780" s="17"/>
      <c r="M780" s="18"/>
      <c r="N780" s="17"/>
      <c r="O780" s="11"/>
      <c r="P780" s="20"/>
      <c r="Q780" s="23"/>
      <c r="R780" s="24"/>
      <c r="S780" s="12"/>
      <c r="T780" s="17"/>
      <c r="U780" s="19"/>
    </row>
    <row r="781" spans="1:21" ht="16" x14ac:dyDescent="0.2">
      <c r="A781" s="31"/>
      <c r="B781" s="33"/>
      <c r="C781" s="26"/>
      <c r="D781" s="4" t="s">
        <v>8</v>
      </c>
      <c r="E781" s="2">
        <v>140.66897</v>
      </c>
      <c r="F781" s="28"/>
      <c r="G781" s="38"/>
      <c r="H781" s="2">
        <v>25.136970000000002</v>
      </c>
      <c r="I781" s="28"/>
      <c r="J781" s="38"/>
      <c r="L781" s="17"/>
      <c r="M781" s="18"/>
      <c r="N781" s="17"/>
      <c r="O781" s="11"/>
      <c r="P781" s="20"/>
      <c r="Q781" s="23"/>
      <c r="R781" s="24"/>
      <c r="S781" s="12"/>
      <c r="T781" s="17"/>
      <c r="U781" s="19"/>
    </row>
    <row r="782" spans="1:21" ht="16" x14ac:dyDescent="0.2">
      <c r="A782" s="31"/>
      <c r="B782" s="33"/>
      <c r="C782" s="26"/>
      <c r="D782" s="4" t="s">
        <v>9</v>
      </c>
      <c r="E782" s="2">
        <v>154.04399000000001</v>
      </c>
      <c r="F782" s="28"/>
      <c r="G782" s="38"/>
      <c r="H782" s="2">
        <v>25.470549999999999</v>
      </c>
      <c r="I782" s="28"/>
      <c r="J782" s="38"/>
      <c r="L782" s="17"/>
      <c r="M782" s="18"/>
      <c r="N782" s="17"/>
      <c r="O782" s="11"/>
      <c r="P782" s="20"/>
      <c r="Q782" s="23"/>
      <c r="R782" s="24"/>
      <c r="S782" s="12"/>
      <c r="T782" s="17"/>
      <c r="U782" s="19"/>
    </row>
    <row r="783" spans="1:21" ht="16" x14ac:dyDescent="0.2">
      <c r="A783" s="31"/>
      <c r="B783" s="33"/>
      <c r="C783" s="26"/>
      <c r="D783" s="4" t="s">
        <v>10</v>
      </c>
      <c r="E783" s="2">
        <v>120.38305</v>
      </c>
      <c r="F783" s="28"/>
      <c r="G783" s="38"/>
      <c r="H783" s="2">
        <v>27.279119999999999</v>
      </c>
      <c r="I783" s="28"/>
      <c r="J783" s="38"/>
      <c r="L783" s="17"/>
      <c r="M783" s="18"/>
      <c r="N783" s="17"/>
      <c r="O783" s="11"/>
      <c r="P783" s="20"/>
      <c r="Q783" s="23"/>
      <c r="R783" s="24"/>
      <c r="S783" s="12"/>
      <c r="T783" s="17"/>
      <c r="U783" s="19"/>
    </row>
    <row r="784" spans="1:21" ht="16" x14ac:dyDescent="0.2">
      <c r="A784" s="31"/>
      <c r="B784" s="33"/>
      <c r="C784" s="26"/>
      <c r="D784" s="4" t="s">
        <v>11</v>
      </c>
      <c r="E784" s="2">
        <v>134.28648999999999</v>
      </c>
      <c r="F784" s="29"/>
      <c r="G784" s="38"/>
      <c r="H784" s="2">
        <v>19.347270000000002</v>
      </c>
      <c r="I784" s="29"/>
      <c r="J784" s="38"/>
      <c r="L784" s="17"/>
      <c r="M784" s="18"/>
      <c r="N784" s="17"/>
      <c r="O784" s="11"/>
      <c r="P784" s="20"/>
      <c r="Q784" s="23"/>
      <c r="R784" s="24"/>
      <c r="S784" s="12"/>
      <c r="T784" s="17"/>
      <c r="U784" s="19"/>
    </row>
    <row r="785" spans="1:21" ht="16" x14ac:dyDescent="0.2">
      <c r="A785" s="31"/>
      <c r="B785" s="33"/>
      <c r="C785" s="26">
        <v>2</v>
      </c>
      <c r="D785" s="4" t="s">
        <v>7</v>
      </c>
      <c r="E785" s="2">
        <v>136.14215999999999</v>
      </c>
      <c r="F785" s="27">
        <f t="shared" ref="F785" si="623">AVERAGE(E785:E789)</f>
        <v>128.06967399999999</v>
      </c>
      <c r="G785" s="38"/>
      <c r="H785" s="2">
        <v>23.507559999999998</v>
      </c>
      <c r="I785" s="27">
        <f t="shared" ref="I785" si="624">AVERAGE(H785:H789)</f>
        <v>22.211144000000001</v>
      </c>
      <c r="J785" s="38"/>
      <c r="L785" s="17"/>
      <c r="M785" s="18"/>
      <c r="N785" s="17"/>
      <c r="O785" s="11"/>
      <c r="P785" s="20"/>
      <c r="Q785" s="23"/>
      <c r="R785" s="24"/>
      <c r="S785" s="12"/>
      <c r="T785" s="17"/>
      <c r="U785" s="19"/>
    </row>
    <row r="786" spans="1:21" ht="16" x14ac:dyDescent="0.2">
      <c r="A786" s="31"/>
      <c r="B786" s="33"/>
      <c r="C786" s="26"/>
      <c r="D786" s="4" t="s">
        <v>8</v>
      </c>
      <c r="E786" s="2">
        <v>107.85162</v>
      </c>
      <c r="F786" s="28"/>
      <c r="G786" s="38"/>
      <c r="H786" s="2">
        <v>19.3231</v>
      </c>
      <c r="I786" s="28"/>
      <c r="J786" s="38"/>
      <c r="L786" s="17"/>
      <c r="M786" s="18"/>
      <c r="N786" s="17"/>
      <c r="O786" s="11"/>
      <c r="P786" s="20"/>
      <c r="Q786" s="23"/>
      <c r="R786" s="24"/>
      <c r="S786" s="12"/>
      <c r="T786" s="17"/>
      <c r="U786" s="19"/>
    </row>
    <row r="787" spans="1:21" ht="16" x14ac:dyDescent="0.2">
      <c r="A787" s="31"/>
      <c r="B787" s="33"/>
      <c r="C787" s="26"/>
      <c r="D787" s="4" t="s">
        <v>9</v>
      </c>
      <c r="E787" s="2">
        <v>143.06924000000001</v>
      </c>
      <c r="F787" s="28"/>
      <c r="G787" s="38"/>
      <c r="H787" s="2">
        <v>17.730979999999999</v>
      </c>
      <c r="I787" s="28"/>
      <c r="J787" s="38"/>
      <c r="L787" s="17"/>
      <c r="M787" s="18"/>
      <c r="N787" s="17"/>
      <c r="O787" s="11"/>
      <c r="P787" s="20"/>
      <c r="Q787" s="23"/>
      <c r="R787" s="24"/>
      <c r="S787" s="12"/>
      <c r="T787" s="17"/>
      <c r="U787" s="19"/>
    </row>
    <row r="788" spans="1:21" ht="16" x14ac:dyDescent="0.2">
      <c r="A788" s="31"/>
      <c r="B788" s="33"/>
      <c r="C788" s="26"/>
      <c r="D788" s="4" t="s">
        <v>10</v>
      </c>
      <c r="E788" s="2">
        <v>123.86242</v>
      </c>
      <c r="F788" s="28"/>
      <c r="G788" s="38"/>
      <c r="H788" s="2">
        <v>23.663490000000003</v>
      </c>
      <c r="I788" s="28"/>
      <c r="J788" s="38"/>
      <c r="L788" s="17"/>
      <c r="M788" s="18"/>
      <c r="N788" s="17"/>
      <c r="O788" s="11"/>
      <c r="P788" s="20"/>
      <c r="Q788" s="23"/>
      <c r="R788" s="24"/>
      <c r="S788" s="12"/>
      <c r="T788" s="17"/>
      <c r="U788" s="19"/>
    </row>
    <row r="789" spans="1:21" ht="16" x14ac:dyDescent="0.2">
      <c r="A789" s="31"/>
      <c r="B789" s="33"/>
      <c r="C789" s="26"/>
      <c r="D789" s="4" t="s">
        <v>11</v>
      </c>
      <c r="E789" s="2">
        <v>129.42293000000001</v>
      </c>
      <c r="F789" s="29"/>
      <c r="G789" s="38"/>
      <c r="H789" s="2">
        <v>26.830590000000001</v>
      </c>
      <c r="I789" s="29"/>
      <c r="J789" s="38"/>
      <c r="L789" s="17"/>
      <c r="M789" s="18"/>
      <c r="N789" s="17"/>
      <c r="O789" s="11"/>
      <c r="P789" s="20"/>
      <c r="Q789" s="23"/>
      <c r="R789" s="24"/>
      <c r="S789" s="12"/>
      <c r="T789" s="17"/>
      <c r="U789" s="19"/>
    </row>
    <row r="790" spans="1:21" ht="16" x14ac:dyDescent="0.2">
      <c r="A790" s="31"/>
      <c r="B790" s="33"/>
      <c r="C790" s="26">
        <v>3</v>
      </c>
      <c r="D790" s="4" t="s">
        <v>7</v>
      </c>
      <c r="E790" s="2">
        <v>178.18893</v>
      </c>
      <c r="F790" s="27">
        <f t="shared" ref="F790" si="625">AVERAGE(E790:E794)</f>
        <v>137.77318399999999</v>
      </c>
      <c r="G790" s="38"/>
      <c r="H790" s="2">
        <v>27.059239999999999</v>
      </c>
      <c r="I790" s="27">
        <f t="shared" ref="I790" si="626">AVERAGE(H790:H794)</f>
        <v>22.36721</v>
      </c>
      <c r="J790" s="38"/>
      <c r="L790" s="17"/>
      <c r="M790" s="18"/>
      <c r="N790" s="17"/>
      <c r="O790" s="11"/>
      <c r="P790" s="20"/>
      <c r="Q790" s="23"/>
      <c r="R790" s="24"/>
      <c r="S790" s="12"/>
      <c r="T790" s="17"/>
      <c r="U790" s="19"/>
    </row>
    <row r="791" spans="1:21" ht="16" x14ac:dyDescent="0.2">
      <c r="A791" s="31"/>
      <c r="B791" s="33"/>
      <c r="C791" s="26"/>
      <c r="D791" s="4" t="s">
        <v>8</v>
      </c>
      <c r="E791" s="2">
        <v>127.94751000000001</v>
      </c>
      <c r="F791" s="28"/>
      <c r="G791" s="38"/>
      <c r="H791" s="2">
        <v>26.837339999999998</v>
      </c>
      <c r="I791" s="28"/>
      <c r="J791" s="38"/>
      <c r="L791" s="17"/>
      <c r="M791" s="18"/>
      <c r="N791" s="17"/>
      <c r="O791" s="11"/>
      <c r="P791" s="20"/>
      <c r="Q791" s="23"/>
      <c r="R791" s="24"/>
      <c r="S791" s="12"/>
      <c r="T791" s="17"/>
      <c r="U791" s="19"/>
    </row>
    <row r="792" spans="1:21" ht="16" x14ac:dyDescent="0.2">
      <c r="A792" s="31"/>
      <c r="B792" s="33"/>
      <c r="C792" s="26"/>
      <c r="D792" s="4" t="s">
        <v>9</v>
      </c>
      <c r="E792" s="2">
        <v>157.38303999999999</v>
      </c>
      <c r="F792" s="28"/>
      <c r="G792" s="38"/>
      <c r="H792" s="2">
        <v>22.005230000000001</v>
      </c>
      <c r="I792" s="28"/>
      <c r="J792" s="38"/>
      <c r="L792" s="17"/>
      <c r="M792" s="18"/>
      <c r="N792" s="17"/>
      <c r="O792" s="11"/>
      <c r="P792" s="20"/>
      <c r="Q792" s="23"/>
      <c r="R792" s="24"/>
      <c r="S792" s="12"/>
      <c r="T792" s="17"/>
      <c r="U792" s="19"/>
    </row>
    <row r="793" spans="1:21" ht="16" x14ac:dyDescent="0.2">
      <c r="A793" s="31"/>
      <c r="B793" s="33"/>
      <c r="C793" s="26"/>
      <c r="D793" s="4" t="s">
        <v>10</v>
      </c>
      <c r="E793" s="2">
        <v>112.34018</v>
      </c>
      <c r="F793" s="28"/>
      <c r="G793" s="38"/>
      <c r="H793" s="2">
        <v>17.967120000000001</v>
      </c>
      <c r="I793" s="28"/>
      <c r="J793" s="38"/>
      <c r="L793" s="17"/>
      <c r="M793" s="18"/>
      <c r="N793" s="17"/>
      <c r="O793" s="11"/>
      <c r="P793" s="20"/>
      <c r="Q793" s="23"/>
      <c r="R793" s="24"/>
      <c r="S793" s="12"/>
      <c r="T793" s="17"/>
      <c r="U793" s="19"/>
    </row>
    <row r="794" spans="1:21" ht="16" x14ac:dyDescent="0.2">
      <c r="A794" s="31"/>
      <c r="B794" s="33"/>
      <c r="C794" s="26"/>
      <c r="D794" s="4" t="s">
        <v>11</v>
      </c>
      <c r="E794" s="2">
        <v>113.00626</v>
      </c>
      <c r="F794" s="29"/>
      <c r="G794" s="38"/>
      <c r="H794" s="2">
        <v>17.967120000000001</v>
      </c>
      <c r="I794" s="29"/>
      <c r="J794" s="38"/>
      <c r="L794" s="17"/>
      <c r="M794" s="18"/>
      <c r="N794" s="17"/>
      <c r="O794" s="11"/>
      <c r="P794" s="20"/>
      <c r="Q794" s="23"/>
      <c r="R794" s="24"/>
      <c r="S794" s="12"/>
      <c r="T794" s="17"/>
      <c r="U794" s="19"/>
    </row>
    <row r="795" spans="1:21" ht="16" x14ac:dyDescent="0.2">
      <c r="A795" s="31"/>
      <c r="B795" s="33"/>
      <c r="C795" s="26">
        <v>4</v>
      </c>
      <c r="D795" s="4" t="s">
        <v>7</v>
      </c>
      <c r="E795" s="2">
        <v>166.79092</v>
      </c>
      <c r="F795" s="27">
        <f t="shared" ref="F795" si="627">AVERAGE(E795:E799)</f>
        <v>168.313108</v>
      </c>
      <c r="G795" s="38"/>
      <c r="H795" s="2">
        <v>22.617109999999997</v>
      </c>
      <c r="I795" s="27">
        <f t="shared" ref="I795" si="628">AVERAGE(H795:H799)</f>
        <v>25.179354</v>
      </c>
      <c r="J795" s="38"/>
      <c r="L795" s="17"/>
      <c r="M795" s="18"/>
      <c r="N795" s="17"/>
      <c r="O795" s="11"/>
      <c r="P795" s="20"/>
      <c r="Q795" s="23"/>
      <c r="R795" s="24"/>
      <c r="S795" s="12"/>
      <c r="T795" s="17"/>
      <c r="U795" s="19"/>
    </row>
    <row r="796" spans="1:21" ht="16" x14ac:dyDescent="0.2">
      <c r="A796" s="31"/>
      <c r="B796" s="33"/>
      <c r="C796" s="26"/>
      <c r="D796" s="4" t="s">
        <v>8</v>
      </c>
      <c r="E796" s="2">
        <v>158.31267</v>
      </c>
      <c r="F796" s="28"/>
      <c r="G796" s="38"/>
      <c r="H796" s="2">
        <v>29.35772</v>
      </c>
      <c r="I796" s="28"/>
      <c r="J796" s="38"/>
      <c r="L796" s="17"/>
      <c r="M796" s="18"/>
      <c r="N796" s="17"/>
      <c r="O796" s="11"/>
      <c r="P796" s="20"/>
      <c r="Q796" s="23"/>
      <c r="R796" s="24"/>
      <c r="S796" s="12"/>
      <c r="T796" s="17"/>
      <c r="U796" s="19"/>
    </row>
    <row r="797" spans="1:21" ht="16" x14ac:dyDescent="0.2">
      <c r="A797" s="31"/>
      <c r="B797" s="33"/>
      <c r="C797" s="26"/>
      <c r="D797" s="4" t="s">
        <v>9</v>
      </c>
      <c r="E797" s="2">
        <v>172.33126000000001</v>
      </c>
      <c r="F797" s="28"/>
      <c r="G797" s="38"/>
      <c r="H797" s="2">
        <v>18.748900000000003</v>
      </c>
      <c r="I797" s="28"/>
      <c r="J797" s="38"/>
      <c r="L797" s="17"/>
      <c r="M797" s="18"/>
      <c r="N797" s="17"/>
      <c r="O797" s="11"/>
      <c r="P797" s="20"/>
      <c r="Q797" s="23"/>
      <c r="R797" s="24"/>
      <c r="S797" s="12"/>
      <c r="T797" s="17"/>
      <c r="U797" s="19"/>
    </row>
    <row r="798" spans="1:21" ht="16" x14ac:dyDescent="0.2">
      <c r="A798" s="31"/>
      <c r="B798" s="33"/>
      <c r="C798" s="26"/>
      <c r="D798" s="4" t="s">
        <v>10</v>
      </c>
      <c r="E798" s="2">
        <v>172.98758999999998</v>
      </c>
      <c r="F798" s="28"/>
      <c r="G798" s="38"/>
      <c r="H798" s="2">
        <v>27.35802</v>
      </c>
      <c r="I798" s="28"/>
      <c r="J798" s="38"/>
      <c r="L798" s="17"/>
      <c r="M798" s="18"/>
      <c r="N798" s="17"/>
      <c r="O798" s="11"/>
      <c r="P798" s="20"/>
      <c r="Q798" s="23"/>
      <c r="R798" s="24"/>
      <c r="S798" s="12"/>
      <c r="T798" s="17"/>
      <c r="U798" s="19"/>
    </row>
    <row r="799" spans="1:21" ht="16" x14ac:dyDescent="0.2">
      <c r="A799" s="31"/>
      <c r="B799" s="33"/>
      <c r="C799" s="26"/>
      <c r="D799" s="4" t="s">
        <v>11</v>
      </c>
      <c r="E799" s="2">
        <v>171.1431</v>
      </c>
      <c r="F799" s="29"/>
      <c r="G799" s="38"/>
      <c r="H799" s="2">
        <v>27.815020000000001</v>
      </c>
      <c r="I799" s="29"/>
      <c r="J799" s="38"/>
      <c r="L799" s="17"/>
      <c r="M799" s="18"/>
      <c r="N799" s="17"/>
      <c r="O799" s="11"/>
      <c r="P799" s="20"/>
      <c r="Q799" s="23"/>
      <c r="R799" s="24"/>
      <c r="S799" s="12"/>
      <c r="T799" s="17"/>
      <c r="U799" s="19"/>
    </row>
    <row r="800" spans="1:21" ht="16" x14ac:dyDescent="0.2">
      <c r="A800" s="31"/>
      <c r="B800" s="33"/>
      <c r="C800" s="26">
        <v>5</v>
      </c>
      <c r="D800" s="4" t="s">
        <v>7</v>
      </c>
      <c r="E800" s="2">
        <v>168.17534000000001</v>
      </c>
      <c r="F800" s="27">
        <f t="shared" ref="F800" si="629">AVERAGE(E800:E804)</f>
        <v>143.51156799999998</v>
      </c>
      <c r="G800" s="38"/>
      <c r="H800" s="2">
        <v>28.952399999999997</v>
      </c>
      <c r="I800" s="27">
        <f t="shared" ref="I800" si="630">AVERAGE(H800:H804)</f>
        <v>25.837262000000003</v>
      </c>
      <c r="J800" s="38"/>
      <c r="L800" s="17"/>
      <c r="M800" s="18"/>
      <c r="N800" s="17"/>
      <c r="O800" s="11"/>
      <c r="P800" s="20"/>
      <c r="Q800" s="23"/>
      <c r="R800" s="24"/>
      <c r="S800" s="12"/>
      <c r="T800" s="17"/>
      <c r="U800" s="19"/>
    </row>
    <row r="801" spans="1:21" ht="16" x14ac:dyDescent="0.2">
      <c r="A801" s="31"/>
      <c r="B801" s="33"/>
      <c r="C801" s="26"/>
      <c r="D801" s="4" t="s">
        <v>8</v>
      </c>
      <c r="E801" s="2">
        <v>140.66897</v>
      </c>
      <c r="F801" s="28"/>
      <c r="G801" s="38"/>
      <c r="H801" s="2">
        <v>28.136970000000002</v>
      </c>
      <c r="I801" s="28"/>
      <c r="J801" s="38"/>
      <c r="L801" s="17"/>
      <c r="M801" s="18"/>
      <c r="N801" s="17"/>
      <c r="O801" s="11"/>
      <c r="P801" s="20"/>
      <c r="Q801" s="23"/>
      <c r="R801" s="24"/>
      <c r="S801" s="12"/>
      <c r="T801" s="17"/>
      <c r="U801" s="19"/>
    </row>
    <row r="802" spans="1:21" ht="16" x14ac:dyDescent="0.2">
      <c r="A802" s="31"/>
      <c r="B802" s="33"/>
      <c r="C802" s="26"/>
      <c r="D802" s="4" t="s">
        <v>9</v>
      </c>
      <c r="E802" s="2">
        <v>154.04399000000001</v>
      </c>
      <c r="F802" s="28"/>
      <c r="G802" s="38"/>
      <c r="H802" s="2">
        <v>25.470549999999999</v>
      </c>
      <c r="I802" s="28"/>
      <c r="J802" s="38"/>
      <c r="L802" s="17"/>
      <c r="M802" s="18"/>
      <c r="N802" s="17"/>
      <c r="O802" s="11"/>
      <c r="P802" s="20"/>
      <c r="Q802" s="23"/>
      <c r="R802" s="24"/>
      <c r="S802" s="12"/>
      <c r="T802" s="17"/>
      <c r="U802" s="19"/>
    </row>
    <row r="803" spans="1:21" ht="16" x14ac:dyDescent="0.2">
      <c r="A803" s="31"/>
      <c r="B803" s="33"/>
      <c r="C803" s="26"/>
      <c r="D803" s="4" t="s">
        <v>10</v>
      </c>
      <c r="E803" s="2">
        <v>120.38305</v>
      </c>
      <c r="F803" s="28"/>
      <c r="G803" s="38"/>
      <c r="H803" s="2">
        <v>27.279119999999999</v>
      </c>
      <c r="I803" s="28"/>
      <c r="J803" s="38"/>
      <c r="L803" s="17"/>
      <c r="M803" s="18"/>
      <c r="N803" s="17"/>
      <c r="O803" s="11"/>
      <c r="P803" s="20"/>
      <c r="Q803" s="23"/>
      <c r="R803" s="24"/>
      <c r="S803" s="12"/>
      <c r="T803" s="17"/>
      <c r="U803" s="19"/>
    </row>
    <row r="804" spans="1:21" ht="16" x14ac:dyDescent="0.2">
      <c r="A804" s="31"/>
      <c r="B804" s="33"/>
      <c r="C804" s="26"/>
      <c r="D804" s="4" t="s">
        <v>11</v>
      </c>
      <c r="E804" s="2">
        <v>134.28648999999999</v>
      </c>
      <c r="F804" s="29"/>
      <c r="G804" s="39"/>
      <c r="H804" s="2">
        <v>19.347270000000002</v>
      </c>
      <c r="I804" s="29"/>
      <c r="J804" s="39"/>
      <c r="L804" s="17"/>
      <c r="M804" s="18"/>
      <c r="N804" s="17"/>
      <c r="O804" s="11"/>
      <c r="P804" s="20"/>
      <c r="Q804" s="23"/>
      <c r="R804" s="24"/>
      <c r="S804" s="12"/>
      <c r="T804" s="17"/>
      <c r="U804" s="19"/>
    </row>
    <row r="805" spans="1:21" ht="16" x14ac:dyDescent="0.2">
      <c r="A805" s="31"/>
      <c r="B805" s="33">
        <v>3</v>
      </c>
      <c r="C805" s="26">
        <v>1</v>
      </c>
      <c r="D805" s="4" t="s">
        <v>7</v>
      </c>
      <c r="E805" s="2">
        <v>157.81573</v>
      </c>
      <c r="F805" s="27">
        <f t="shared" ref="F805" si="631">AVERAGE(E805:E809)</f>
        <v>125.11690200000001</v>
      </c>
      <c r="G805" s="37">
        <f>AVERAGE(F805:F829)</f>
        <v>135.39534119999999</v>
      </c>
      <c r="H805" s="2">
        <v>31.756970000000003</v>
      </c>
      <c r="I805" s="27">
        <f t="shared" ref="I805" si="632">AVERAGE(H805:H809)</f>
        <v>25.246656000000005</v>
      </c>
      <c r="J805" s="37">
        <f t="shared" ref="J805" si="633">AVERAGE(I805:I829)</f>
        <v>23.285660800000002</v>
      </c>
      <c r="L805" s="17"/>
      <c r="M805" s="18"/>
      <c r="N805" s="17"/>
      <c r="O805" s="11"/>
      <c r="P805" s="20"/>
      <c r="Q805" s="23"/>
      <c r="R805" s="24"/>
      <c r="S805" s="12"/>
      <c r="T805" s="17"/>
      <c r="U805" s="19"/>
    </row>
    <row r="806" spans="1:21" ht="16" x14ac:dyDescent="0.2">
      <c r="A806" s="31"/>
      <c r="B806" s="33"/>
      <c r="C806" s="26"/>
      <c r="D806" s="4" t="s">
        <v>8</v>
      </c>
      <c r="E806" s="2">
        <v>95.419709999999995</v>
      </c>
      <c r="F806" s="28"/>
      <c r="G806" s="38"/>
      <c r="H806" s="2">
        <v>20.3398</v>
      </c>
      <c r="I806" s="28"/>
      <c r="J806" s="38"/>
      <c r="L806" s="17"/>
      <c r="M806" s="18"/>
      <c r="N806" s="17"/>
      <c r="O806" s="11"/>
      <c r="P806" s="20"/>
      <c r="Q806" s="23"/>
      <c r="R806" s="24"/>
      <c r="S806" s="12"/>
      <c r="T806" s="17"/>
      <c r="U806" s="19"/>
    </row>
    <row r="807" spans="1:21" ht="16" x14ac:dyDescent="0.2">
      <c r="A807" s="31"/>
      <c r="B807" s="33"/>
      <c r="C807" s="26"/>
      <c r="D807" s="4" t="s">
        <v>9</v>
      </c>
      <c r="E807" s="2">
        <v>137.83064000000002</v>
      </c>
      <c r="F807" s="28"/>
      <c r="G807" s="38"/>
      <c r="H807" s="2">
        <v>40.370939999999997</v>
      </c>
      <c r="I807" s="28"/>
      <c r="J807" s="38"/>
      <c r="L807" s="17"/>
      <c r="M807" s="18"/>
      <c r="N807" s="17"/>
      <c r="O807" s="11"/>
      <c r="P807" s="20"/>
      <c r="Q807" s="23"/>
      <c r="R807" s="24"/>
      <c r="S807" s="12"/>
      <c r="T807" s="17"/>
      <c r="U807" s="19"/>
    </row>
    <row r="808" spans="1:21" ht="16" x14ac:dyDescent="0.2">
      <c r="A808" s="31"/>
      <c r="B808" s="33"/>
      <c r="C808" s="26"/>
      <c r="D808" s="4" t="s">
        <v>10</v>
      </c>
      <c r="E808" s="2">
        <v>115.86130999999999</v>
      </c>
      <c r="F808" s="28"/>
      <c r="G808" s="38"/>
      <c r="H808" s="2">
        <v>20.918980000000001</v>
      </c>
      <c r="I808" s="28"/>
      <c r="J808" s="38"/>
      <c r="L808" s="17"/>
      <c r="M808" s="18"/>
      <c r="N808" s="17"/>
      <c r="O808" s="11"/>
      <c r="P808" s="20"/>
      <c r="Q808" s="23"/>
      <c r="R808" s="24"/>
      <c r="S808" s="12"/>
      <c r="T808" s="17"/>
      <c r="U808" s="19"/>
    </row>
    <row r="809" spans="1:21" ht="16" x14ac:dyDescent="0.2">
      <c r="A809" s="31"/>
      <c r="B809" s="33"/>
      <c r="C809" s="26"/>
      <c r="D809" s="4" t="s">
        <v>11</v>
      </c>
      <c r="E809" s="2">
        <v>118.65711999999999</v>
      </c>
      <c r="F809" s="29"/>
      <c r="G809" s="38"/>
      <c r="H809" s="2">
        <v>12.846590000000001</v>
      </c>
      <c r="I809" s="29"/>
      <c r="J809" s="38"/>
      <c r="L809" s="17"/>
      <c r="M809" s="18"/>
      <c r="N809" s="17"/>
      <c r="O809" s="11"/>
      <c r="P809" s="20"/>
      <c r="Q809" s="23"/>
      <c r="R809" s="24"/>
      <c r="S809" s="12"/>
      <c r="T809" s="17"/>
      <c r="U809" s="19"/>
    </row>
    <row r="810" spans="1:21" ht="16" x14ac:dyDescent="0.2">
      <c r="A810" s="31"/>
      <c r="B810" s="33"/>
      <c r="C810" s="26">
        <v>2</v>
      </c>
      <c r="D810" s="4" t="s">
        <v>7</v>
      </c>
      <c r="E810" s="2">
        <v>108.72718999999999</v>
      </c>
      <c r="F810" s="27">
        <f t="shared" ref="F810" si="634">AVERAGE(E810:E814)</f>
        <v>115.497674</v>
      </c>
      <c r="G810" s="38"/>
      <c r="H810" s="2">
        <v>24.56391</v>
      </c>
      <c r="I810" s="27">
        <f t="shared" ref="I810" si="635">AVERAGE(H810:H814)</f>
        <v>20.949840000000002</v>
      </c>
      <c r="J810" s="38"/>
      <c r="L810" s="17"/>
      <c r="M810" s="18"/>
      <c r="N810" s="17"/>
      <c r="O810" s="11"/>
      <c r="P810" s="20"/>
      <c r="Q810" s="23"/>
      <c r="R810" s="24"/>
      <c r="S810" s="12"/>
      <c r="T810" s="17"/>
      <c r="U810" s="19"/>
    </row>
    <row r="811" spans="1:21" ht="16" x14ac:dyDescent="0.2">
      <c r="A811" s="31"/>
      <c r="B811" s="33"/>
      <c r="C811" s="26"/>
      <c r="D811" s="4" t="s">
        <v>8</v>
      </c>
      <c r="E811" s="2">
        <v>99.203490000000002</v>
      </c>
      <c r="F811" s="28"/>
      <c r="G811" s="38"/>
      <c r="H811" s="2">
        <v>17.293900000000001</v>
      </c>
      <c r="I811" s="28"/>
      <c r="J811" s="38"/>
      <c r="L811" s="17"/>
      <c r="M811" s="18"/>
      <c r="N811" s="17"/>
      <c r="O811" s="11"/>
      <c r="P811" s="20"/>
      <c r="Q811" s="23"/>
      <c r="R811" s="24"/>
      <c r="S811" s="12"/>
      <c r="T811" s="17"/>
      <c r="U811" s="19"/>
    </row>
    <row r="812" spans="1:21" ht="16" x14ac:dyDescent="0.2">
      <c r="A812" s="31"/>
      <c r="B812" s="33"/>
      <c r="C812" s="26"/>
      <c r="D812" s="4" t="s">
        <v>9</v>
      </c>
      <c r="E812" s="2">
        <v>145.95626000000001</v>
      </c>
      <c r="F812" s="28"/>
      <c r="G812" s="38"/>
      <c r="H812" s="2">
        <v>33.3904</v>
      </c>
      <c r="I812" s="28"/>
      <c r="J812" s="38"/>
      <c r="L812" s="17"/>
      <c r="M812" s="18"/>
      <c r="N812" s="17"/>
      <c r="O812" s="11"/>
      <c r="P812" s="20"/>
      <c r="Q812" s="23"/>
      <c r="R812" s="24"/>
      <c r="S812" s="12"/>
      <c r="T812" s="17"/>
      <c r="U812" s="19"/>
    </row>
    <row r="813" spans="1:21" ht="16" x14ac:dyDescent="0.2">
      <c r="A813" s="31"/>
      <c r="B813" s="33"/>
      <c r="C813" s="26"/>
      <c r="D813" s="4" t="s">
        <v>10</v>
      </c>
      <c r="E813" s="2">
        <v>108.58995999999999</v>
      </c>
      <c r="F813" s="28"/>
      <c r="G813" s="38"/>
      <c r="H813" s="2">
        <v>13.731640000000001</v>
      </c>
      <c r="I813" s="28"/>
      <c r="J813" s="38"/>
      <c r="L813" s="17"/>
      <c r="M813" s="18"/>
      <c r="N813" s="17"/>
      <c r="O813" s="11"/>
      <c r="P813" s="20"/>
      <c r="Q813" s="23"/>
      <c r="R813" s="24"/>
      <c r="S813" s="12"/>
      <c r="T813" s="17"/>
      <c r="U813" s="19"/>
    </row>
    <row r="814" spans="1:21" ht="16" x14ac:dyDescent="0.2">
      <c r="A814" s="31"/>
      <c r="B814" s="33"/>
      <c r="C814" s="26"/>
      <c r="D814" s="4" t="s">
        <v>11</v>
      </c>
      <c r="E814" s="2">
        <v>115.01147</v>
      </c>
      <c r="F814" s="29"/>
      <c r="G814" s="38"/>
      <c r="H814" s="2">
        <v>15.769349999999999</v>
      </c>
      <c r="I814" s="29"/>
      <c r="J814" s="38"/>
      <c r="L814" s="17"/>
      <c r="M814" s="18"/>
      <c r="N814" s="17"/>
      <c r="O814" s="11"/>
      <c r="P814" s="20"/>
      <c r="Q814" s="23"/>
      <c r="R814" s="24"/>
      <c r="S814" s="12"/>
      <c r="T814" s="17"/>
      <c r="U814" s="19"/>
    </row>
    <row r="815" spans="1:21" ht="16" x14ac:dyDescent="0.2">
      <c r="A815" s="31"/>
      <c r="B815" s="33"/>
      <c r="C815" s="26">
        <v>3</v>
      </c>
      <c r="D815" s="4" t="s">
        <v>7</v>
      </c>
      <c r="E815" s="2">
        <v>98.759110000000007</v>
      </c>
      <c r="F815" s="27">
        <f t="shared" ref="F815" si="636">AVERAGE(E815:E819)</f>
        <v>126.49757</v>
      </c>
      <c r="G815" s="38"/>
      <c r="H815" s="2">
        <v>25.150030000000001</v>
      </c>
      <c r="I815" s="27">
        <f t="shared" ref="I815" si="637">AVERAGE(H815:H819)</f>
        <v>23.748134</v>
      </c>
      <c r="J815" s="38"/>
      <c r="L815" s="17"/>
      <c r="M815" s="18"/>
      <c r="N815" s="17"/>
      <c r="O815" s="11"/>
      <c r="P815" s="20"/>
      <c r="Q815" s="23"/>
      <c r="R815" s="24"/>
      <c r="S815" s="12"/>
      <c r="T815" s="17"/>
      <c r="U815" s="19"/>
    </row>
    <row r="816" spans="1:21" ht="16" x14ac:dyDescent="0.2">
      <c r="A816" s="31"/>
      <c r="B816" s="33"/>
      <c r="C816" s="26"/>
      <c r="D816" s="4" t="s">
        <v>8</v>
      </c>
      <c r="E816" s="2">
        <v>132.52795</v>
      </c>
      <c r="F816" s="28"/>
      <c r="G816" s="38"/>
      <c r="H816" s="2">
        <v>27.666460000000001</v>
      </c>
      <c r="I816" s="28"/>
      <c r="J816" s="38"/>
      <c r="L816" s="17"/>
      <c r="M816" s="18"/>
      <c r="N816" s="17"/>
      <c r="O816" s="11"/>
      <c r="P816" s="20"/>
      <c r="Q816" s="23"/>
      <c r="R816" s="24"/>
      <c r="S816" s="12"/>
      <c r="T816" s="17"/>
      <c r="U816" s="19"/>
    </row>
    <row r="817" spans="1:21" ht="16" x14ac:dyDescent="0.2">
      <c r="A817" s="31"/>
      <c r="B817" s="33"/>
      <c r="C817" s="26"/>
      <c r="D817" s="4" t="s">
        <v>9</v>
      </c>
      <c r="E817" s="2">
        <v>162.38299000000001</v>
      </c>
      <c r="F817" s="28"/>
      <c r="G817" s="38"/>
      <c r="H817" s="2">
        <v>17.152989999999999</v>
      </c>
      <c r="I817" s="28"/>
      <c r="J817" s="38"/>
      <c r="L817" s="17"/>
      <c r="M817" s="18"/>
      <c r="N817" s="17"/>
      <c r="O817" s="11"/>
      <c r="P817" s="20"/>
      <c r="Q817" s="23"/>
      <c r="R817" s="24"/>
      <c r="S817" s="12"/>
      <c r="T817" s="17"/>
      <c r="U817" s="19"/>
    </row>
    <row r="818" spans="1:21" ht="16" x14ac:dyDescent="0.2">
      <c r="A818" s="31"/>
      <c r="B818" s="33"/>
      <c r="C818" s="26"/>
      <c r="D818" s="4" t="s">
        <v>10</v>
      </c>
      <c r="E818" s="2">
        <v>146.41983999999999</v>
      </c>
      <c r="F818" s="28"/>
      <c r="G818" s="38"/>
      <c r="H818" s="2">
        <v>22.617109999999997</v>
      </c>
      <c r="I818" s="28"/>
      <c r="J818" s="38"/>
      <c r="L818" s="17"/>
      <c r="M818" s="18"/>
      <c r="N818" s="17"/>
      <c r="O818" s="11"/>
      <c r="P818" s="20"/>
      <c r="Q818" s="23"/>
      <c r="R818" s="24"/>
      <c r="S818" s="12"/>
      <c r="T818" s="17"/>
      <c r="U818" s="19"/>
    </row>
    <row r="819" spans="1:21" ht="16" x14ac:dyDescent="0.2">
      <c r="A819" s="31"/>
      <c r="B819" s="33"/>
      <c r="C819" s="26"/>
      <c r="D819" s="4" t="s">
        <v>11</v>
      </c>
      <c r="E819" s="2">
        <v>92.397959999999998</v>
      </c>
      <c r="F819" s="29"/>
      <c r="G819" s="38"/>
      <c r="H819" s="2">
        <v>26.15408</v>
      </c>
      <c r="I819" s="29"/>
      <c r="J819" s="38"/>
      <c r="L819" s="17"/>
      <c r="M819" s="18"/>
      <c r="N819" s="17"/>
      <c r="O819" s="11"/>
      <c r="P819" s="20"/>
      <c r="Q819" s="23"/>
      <c r="R819" s="24"/>
      <c r="S819" s="12"/>
      <c r="T819" s="17"/>
      <c r="U819" s="19"/>
    </row>
    <row r="820" spans="1:21" ht="16" x14ac:dyDescent="0.2">
      <c r="A820" s="31"/>
      <c r="B820" s="33"/>
      <c r="C820" s="26">
        <v>4</v>
      </c>
      <c r="D820" s="4" t="s">
        <v>7</v>
      </c>
      <c r="E820" s="2">
        <v>123.07236</v>
      </c>
      <c r="F820" s="27">
        <f t="shared" ref="F820" si="638">AVERAGE(E820:E824)</f>
        <v>141.55145199999998</v>
      </c>
      <c r="G820" s="38"/>
      <c r="H820" s="2">
        <v>14.964369999999999</v>
      </c>
      <c r="I820" s="27">
        <f t="shared" ref="I820" si="639">AVERAGE(H820:H824)</f>
        <v>16.699428000000001</v>
      </c>
      <c r="J820" s="38"/>
      <c r="L820" s="17"/>
      <c r="M820" s="18"/>
      <c r="N820" s="17"/>
      <c r="O820" s="11"/>
      <c r="P820" s="20"/>
      <c r="Q820" s="23"/>
      <c r="R820" s="24"/>
      <c r="S820" s="12"/>
      <c r="T820" s="17"/>
      <c r="U820" s="19"/>
    </row>
    <row r="821" spans="1:21" ht="16" x14ac:dyDescent="0.2">
      <c r="A821" s="31"/>
      <c r="B821" s="33"/>
      <c r="C821" s="26"/>
      <c r="D821" s="4" t="s">
        <v>8</v>
      </c>
      <c r="E821" s="2">
        <v>164.47530999999998</v>
      </c>
      <c r="F821" s="28"/>
      <c r="G821" s="38"/>
      <c r="H821" s="2">
        <v>22.608850000000004</v>
      </c>
      <c r="I821" s="28"/>
      <c r="J821" s="38"/>
      <c r="L821" s="17"/>
      <c r="M821" s="18"/>
      <c r="N821" s="17"/>
      <c r="O821" s="11"/>
      <c r="P821" s="20"/>
      <c r="Q821" s="23"/>
      <c r="R821" s="24"/>
      <c r="S821" s="12"/>
      <c r="T821" s="17"/>
      <c r="U821" s="19"/>
    </row>
    <row r="822" spans="1:21" ht="16" x14ac:dyDescent="0.2">
      <c r="A822" s="31"/>
      <c r="B822" s="33"/>
      <c r="C822" s="26"/>
      <c r="D822" s="4" t="s">
        <v>9</v>
      </c>
      <c r="E822" s="2">
        <v>181.07840999999999</v>
      </c>
      <c r="F822" s="28"/>
      <c r="G822" s="38"/>
      <c r="H822" s="2">
        <v>15.863779999999998</v>
      </c>
      <c r="I822" s="28"/>
      <c r="J822" s="38"/>
      <c r="L822" s="17"/>
      <c r="M822" s="18"/>
      <c r="N822" s="17"/>
      <c r="O822" s="11"/>
      <c r="P822" s="20"/>
      <c r="Q822" s="23"/>
      <c r="R822" s="24"/>
      <c r="S822" s="12"/>
      <c r="T822" s="17"/>
      <c r="U822" s="19"/>
    </row>
    <row r="823" spans="1:21" ht="16" x14ac:dyDescent="0.2">
      <c r="A823" s="31"/>
      <c r="B823" s="33"/>
      <c r="C823" s="26"/>
      <c r="D823" s="4" t="s">
        <v>10</v>
      </c>
      <c r="E823" s="2">
        <v>144.78635</v>
      </c>
      <c r="F823" s="28"/>
      <c r="G823" s="38"/>
      <c r="H823" s="2">
        <v>15.992709999999999</v>
      </c>
      <c r="I823" s="28"/>
      <c r="J823" s="38"/>
      <c r="L823" s="17"/>
      <c r="M823" s="18"/>
      <c r="N823" s="17"/>
      <c r="O823" s="11"/>
      <c r="P823" s="20"/>
      <c r="Q823" s="23"/>
      <c r="R823" s="24"/>
      <c r="S823" s="12"/>
      <c r="T823" s="17"/>
      <c r="U823" s="19"/>
    </row>
    <row r="824" spans="1:21" ht="16" x14ac:dyDescent="0.2">
      <c r="A824" s="31"/>
      <c r="B824" s="33"/>
      <c r="C824" s="26"/>
      <c r="D824" s="4" t="s">
        <v>11</v>
      </c>
      <c r="E824" s="2">
        <v>94.344830000000002</v>
      </c>
      <c r="F824" s="29"/>
      <c r="G824" s="38"/>
      <c r="H824" s="2">
        <v>14.06743</v>
      </c>
      <c r="I824" s="29"/>
      <c r="J824" s="38"/>
      <c r="L824" s="17"/>
      <c r="M824" s="18"/>
      <c r="N824" s="17"/>
      <c r="O824" s="11"/>
      <c r="P824" s="20"/>
      <c r="Q824" s="23"/>
      <c r="R824" s="24"/>
      <c r="S824" s="12"/>
      <c r="T824" s="17"/>
      <c r="U824" s="19"/>
    </row>
    <row r="825" spans="1:21" ht="16" x14ac:dyDescent="0.2">
      <c r="A825" s="31"/>
      <c r="B825" s="33"/>
      <c r="C825" s="26">
        <v>5</v>
      </c>
      <c r="D825" s="4" t="s">
        <v>7</v>
      </c>
      <c r="E825" s="2">
        <v>166.79092</v>
      </c>
      <c r="F825" s="27">
        <f t="shared" ref="F825" si="640">AVERAGE(E825:E829)</f>
        <v>168.313108</v>
      </c>
      <c r="G825" s="38"/>
      <c r="H825" s="2">
        <v>31.1875</v>
      </c>
      <c r="I825" s="27">
        <f t="shared" ref="I825" si="641">AVERAGE(H825:H829)</f>
        <v>29.784245999999996</v>
      </c>
      <c r="J825" s="38"/>
      <c r="L825" s="17"/>
      <c r="M825" s="18"/>
      <c r="N825" s="17"/>
      <c r="O825" s="11"/>
      <c r="P825" s="20"/>
      <c r="Q825" s="23"/>
      <c r="R825" s="24"/>
      <c r="S825" s="12"/>
      <c r="T825" s="17"/>
      <c r="U825" s="19"/>
    </row>
    <row r="826" spans="1:21" ht="16" x14ac:dyDescent="0.2">
      <c r="A826" s="31"/>
      <c r="B826" s="33"/>
      <c r="C826" s="26"/>
      <c r="D826" s="4" t="s">
        <v>8</v>
      </c>
      <c r="E826" s="2">
        <v>158.31267</v>
      </c>
      <c r="F826" s="28"/>
      <c r="G826" s="38"/>
      <c r="H826" s="2">
        <v>13.49854</v>
      </c>
      <c r="I826" s="28"/>
      <c r="J826" s="38"/>
      <c r="L826" s="17"/>
      <c r="M826" s="18"/>
      <c r="N826" s="17"/>
      <c r="O826" s="11"/>
      <c r="P826" s="20"/>
      <c r="Q826" s="23"/>
      <c r="R826" s="24"/>
      <c r="S826" s="12"/>
      <c r="T826" s="17"/>
      <c r="U826" s="19"/>
    </row>
    <row r="827" spans="1:21" ht="16" x14ac:dyDescent="0.2">
      <c r="A827" s="31"/>
      <c r="B827" s="33"/>
      <c r="C827" s="26"/>
      <c r="D827" s="4" t="s">
        <v>9</v>
      </c>
      <c r="E827" s="2">
        <v>172.33126000000001</v>
      </c>
      <c r="F827" s="28"/>
      <c r="G827" s="38"/>
      <c r="H827" s="2">
        <v>21.343060000000001</v>
      </c>
      <c r="I827" s="28"/>
      <c r="J827" s="38"/>
      <c r="L827" s="17"/>
      <c r="M827" s="18"/>
      <c r="N827" s="17"/>
      <c r="O827" s="11"/>
      <c r="P827" s="20"/>
      <c r="Q827" s="23"/>
      <c r="R827" s="24"/>
      <c r="S827" s="12"/>
      <c r="T827" s="17"/>
      <c r="U827" s="19"/>
    </row>
    <row r="828" spans="1:21" ht="16" x14ac:dyDescent="0.2">
      <c r="A828" s="31"/>
      <c r="B828" s="33"/>
      <c r="C828" s="26"/>
      <c r="D828" s="4" t="s">
        <v>10</v>
      </c>
      <c r="E828" s="2">
        <v>172.98758999999998</v>
      </c>
      <c r="F828" s="28"/>
      <c r="G828" s="38"/>
      <c r="H828" s="2">
        <v>22.484650000000002</v>
      </c>
      <c r="I828" s="28"/>
      <c r="J828" s="38"/>
      <c r="L828" s="17"/>
      <c r="M828" s="18"/>
      <c r="N828" s="17"/>
      <c r="O828" s="11"/>
      <c r="P828" s="20"/>
      <c r="Q828" s="23"/>
      <c r="R828" s="24"/>
      <c r="S828" s="12"/>
      <c r="T828" s="17"/>
      <c r="U828" s="19"/>
    </row>
    <row r="829" spans="1:21" ht="16" x14ac:dyDescent="0.2">
      <c r="A829" s="32"/>
      <c r="B829" s="33"/>
      <c r="C829" s="26"/>
      <c r="D829" s="4" t="s">
        <v>11</v>
      </c>
      <c r="E829" s="2">
        <v>171.1431</v>
      </c>
      <c r="F829" s="29"/>
      <c r="G829" s="39"/>
      <c r="H829" s="2">
        <v>60.407479999999993</v>
      </c>
      <c r="I829" s="29"/>
      <c r="J829" s="39"/>
      <c r="L829" s="17"/>
      <c r="M829" s="18"/>
      <c r="N829" s="17"/>
      <c r="O829" s="11"/>
      <c r="P829" s="20"/>
      <c r="Q829" s="23"/>
      <c r="R829" s="24"/>
      <c r="S829" s="12"/>
      <c r="T829" s="17"/>
      <c r="U829" s="19"/>
    </row>
    <row r="830" spans="1:21" ht="16" x14ac:dyDescent="0.2">
      <c r="A830" s="30" t="s">
        <v>16</v>
      </c>
      <c r="B830" s="33">
        <v>1</v>
      </c>
      <c r="C830" s="26">
        <v>1</v>
      </c>
      <c r="D830" s="4" t="s">
        <v>7</v>
      </c>
      <c r="E830" s="2">
        <v>99.471730000000008</v>
      </c>
      <c r="F830" s="27">
        <f t="shared" ref="F830" si="642">AVERAGE(E830:E834)</f>
        <v>112.589502</v>
      </c>
      <c r="G830" s="37">
        <f>AVERAGE(F830:F854)</f>
        <v>124.9469208</v>
      </c>
      <c r="H830" s="2">
        <v>28.431889999999999</v>
      </c>
      <c r="I830" s="27">
        <f t="shared" ref="I830" si="643">AVERAGE(H830:H834)</f>
        <v>24.27131</v>
      </c>
      <c r="J830" s="37">
        <f t="shared" ref="J830" si="644">AVERAGE(I830:I854)</f>
        <v>23.636611999999996</v>
      </c>
    </row>
    <row r="831" spans="1:21" ht="16" x14ac:dyDescent="0.2">
      <c r="A831" s="31"/>
      <c r="B831" s="33"/>
      <c r="C831" s="26"/>
      <c r="D831" s="4" t="s">
        <v>8</v>
      </c>
      <c r="E831" s="2">
        <v>104.23374</v>
      </c>
      <c r="F831" s="28"/>
      <c r="G831" s="38"/>
      <c r="H831" s="2">
        <v>31.780470000000001</v>
      </c>
      <c r="I831" s="28"/>
      <c r="J831" s="38"/>
    </row>
    <row r="832" spans="1:21" ht="16" x14ac:dyDescent="0.2">
      <c r="A832" s="31"/>
      <c r="B832" s="33"/>
      <c r="C832" s="26"/>
      <c r="D832" s="4" t="s">
        <v>9</v>
      </c>
      <c r="E832" s="2">
        <v>95.772670000000005</v>
      </c>
      <c r="F832" s="28"/>
      <c r="G832" s="38"/>
      <c r="H832" s="2">
        <v>29.099589999999999</v>
      </c>
      <c r="I832" s="28"/>
      <c r="J832" s="38"/>
    </row>
    <row r="833" spans="1:10" ht="16" x14ac:dyDescent="0.2">
      <c r="A833" s="31"/>
      <c r="B833" s="33"/>
      <c r="C833" s="26"/>
      <c r="D833" s="4" t="s">
        <v>10</v>
      </c>
      <c r="E833" s="2">
        <v>163.89198999999999</v>
      </c>
      <c r="F833" s="28"/>
      <c r="G833" s="38"/>
      <c r="H833" s="2">
        <v>11.234020000000001</v>
      </c>
      <c r="I833" s="28"/>
      <c r="J833" s="38"/>
    </row>
    <row r="834" spans="1:10" ht="16" x14ac:dyDescent="0.2">
      <c r="A834" s="31"/>
      <c r="B834" s="33"/>
      <c r="C834" s="26"/>
      <c r="D834" s="4" t="s">
        <v>11</v>
      </c>
      <c r="E834" s="2">
        <v>99.577379999999991</v>
      </c>
      <c r="F834" s="29"/>
      <c r="G834" s="38"/>
      <c r="H834" s="2">
        <v>20.810580000000002</v>
      </c>
      <c r="I834" s="29"/>
      <c r="J834" s="38"/>
    </row>
    <row r="835" spans="1:10" ht="16" x14ac:dyDescent="0.2">
      <c r="A835" s="31"/>
      <c r="B835" s="33"/>
      <c r="C835" s="26">
        <v>2</v>
      </c>
      <c r="D835" s="4" t="s">
        <v>7</v>
      </c>
      <c r="E835" s="2">
        <v>119.99782999999999</v>
      </c>
      <c r="F835" s="27">
        <f t="shared" ref="F835" si="645">AVERAGE(E835:E839)</f>
        <v>126.31266400000001</v>
      </c>
      <c r="G835" s="38"/>
      <c r="H835" s="2">
        <v>22.372820000000001</v>
      </c>
      <c r="I835" s="27">
        <f t="shared" ref="I835" si="646">AVERAGE(H835:H839)</f>
        <v>21.367312000000002</v>
      </c>
      <c r="J835" s="38"/>
    </row>
    <row r="836" spans="1:10" ht="16" x14ac:dyDescent="0.2">
      <c r="A836" s="31"/>
      <c r="B836" s="33"/>
      <c r="C836" s="26"/>
      <c r="D836" s="4" t="s">
        <v>8</v>
      </c>
      <c r="E836" s="2">
        <v>164.77418</v>
      </c>
      <c r="F836" s="28"/>
      <c r="G836" s="38"/>
      <c r="H836" s="2">
        <v>21.378020000000003</v>
      </c>
      <c r="I836" s="28"/>
      <c r="J836" s="38"/>
    </row>
    <row r="837" spans="1:10" ht="16" x14ac:dyDescent="0.2">
      <c r="A837" s="31"/>
      <c r="B837" s="33"/>
      <c r="C837" s="26"/>
      <c r="D837" s="4" t="s">
        <v>9</v>
      </c>
      <c r="E837" s="2">
        <v>93.928939999999997</v>
      </c>
      <c r="F837" s="28"/>
      <c r="G837" s="38"/>
      <c r="H837" s="2">
        <v>13.947480000000001</v>
      </c>
      <c r="I837" s="28"/>
      <c r="J837" s="38"/>
    </row>
    <row r="838" spans="1:10" ht="16" x14ac:dyDescent="0.2">
      <c r="A838" s="31"/>
      <c r="B838" s="33"/>
      <c r="C838" s="26"/>
      <c r="D838" s="4" t="s">
        <v>10</v>
      </c>
      <c r="E838" s="2">
        <v>155.88813999999999</v>
      </c>
      <c r="F838" s="28"/>
      <c r="G838" s="38"/>
      <c r="H838" s="2">
        <v>23.190760000000001</v>
      </c>
      <c r="I838" s="28"/>
      <c r="J838" s="38"/>
    </row>
    <row r="839" spans="1:10" ht="16" x14ac:dyDescent="0.2">
      <c r="A839" s="31"/>
      <c r="B839" s="33"/>
      <c r="C839" s="26"/>
      <c r="D839" s="4" t="s">
        <v>11</v>
      </c>
      <c r="E839" s="2">
        <v>96.974230000000006</v>
      </c>
      <c r="F839" s="29"/>
      <c r="G839" s="38"/>
      <c r="H839" s="2">
        <v>25.947479999999999</v>
      </c>
      <c r="I839" s="29"/>
      <c r="J839" s="38"/>
    </row>
    <row r="840" spans="1:10" ht="16" x14ac:dyDescent="0.2">
      <c r="A840" s="31"/>
      <c r="B840" s="33"/>
      <c r="C840" s="26">
        <v>3</v>
      </c>
      <c r="D840" s="4" t="s">
        <v>7</v>
      </c>
      <c r="E840" s="2">
        <v>104.42343000000001</v>
      </c>
      <c r="F840" s="27">
        <f t="shared" ref="F840" si="647">AVERAGE(E840:E844)</f>
        <v>134.17451599999998</v>
      </c>
      <c r="G840" s="38"/>
      <c r="H840" s="2">
        <v>22.879720000000002</v>
      </c>
      <c r="I840" s="27">
        <f t="shared" ref="I840" si="648">AVERAGE(H840:H844)</f>
        <v>23.768812</v>
      </c>
      <c r="J840" s="38"/>
    </row>
    <row r="841" spans="1:10" ht="16" x14ac:dyDescent="0.2">
      <c r="A841" s="31"/>
      <c r="B841" s="33"/>
      <c r="C841" s="26"/>
      <c r="D841" s="4" t="s">
        <v>8</v>
      </c>
      <c r="E841" s="2">
        <v>103.82995999999999</v>
      </c>
      <c r="F841" s="28"/>
      <c r="G841" s="38"/>
      <c r="H841" s="2">
        <v>27.65297</v>
      </c>
      <c r="I841" s="28"/>
      <c r="J841" s="38"/>
    </row>
    <row r="842" spans="1:10" ht="16" x14ac:dyDescent="0.2">
      <c r="A842" s="31"/>
      <c r="B842" s="33"/>
      <c r="C842" s="26"/>
      <c r="D842" s="4" t="s">
        <v>9</v>
      </c>
      <c r="E842" s="2">
        <v>197.2645</v>
      </c>
      <c r="F842" s="28"/>
      <c r="G842" s="38"/>
      <c r="H842" s="2">
        <v>20.784679999999998</v>
      </c>
      <c r="I842" s="28"/>
      <c r="J842" s="38"/>
    </row>
    <row r="843" spans="1:10" ht="16" x14ac:dyDescent="0.2">
      <c r="A843" s="31"/>
      <c r="B843" s="33"/>
      <c r="C843" s="26"/>
      <c r="D843" s="4" t="s">
        <v>10</v>
      </c>
      <c r="E843" s="2">
        <v>166.96805000000001</v>
      </c>
      <c r="F843" s="28"/>
      <c r="G843" s="38"/>
      <c r="H843" s="2">
        <v>21.864450000000001</v>
      </c>
      <c r="I843" s="28"/>
      <c r="J843" s="38"/>
    </row>
    <row r="844" spans="1:10" ht="16" x14ac:dyDescent="0.2">
      <c r="A844" s="31"/>
      <c r="B844" s="33"/>
      <c r="C844" s="26"/>
      <c r="D844" s="4" t="s">
        <v>11</v>
      </c>
      <c r="E844" s="2">
        <v>98.38664</v>
      </c>
      <c r="F844" s="29"/>
      <c r="G844" s="38"/>
      <c r="H844" s="2">
        <v>25.662240000000001</v>
      </c>
      <c r="I844" s="29"/>
      <c r="J844" s="38"/>
    </row>
    <row r="845" spans="1:10" ht="16" x14ac:dyDescent="0.2">
      <c r="A845" s="31"/>
      <c r="B845" s="33"/>
      <c r="C845" s="26">
        <v>4</v>
      </c>
      <c r="D845" s="4" t="s">
        <v>7</v>
      </c>
      <c r="E845" s="2">
        <v>121.19449</v>
      </c>
      <c r="F845" s="27">
        <f t="shared" ref="F845" si="649">AVERAGE(E845:E849)</f>
        <v>123.22446999999997</v>
      </c>
      <c r="G845" s="38"/>
      <c r="H845" s="2">
        <v>21.241640000000004</v>
      </c>
      <c r="I845" s="27">
        <f t="shared" ref="I845" si="650">AVERAGE(H845:H849)</f>
        <v>23.52514</v>
      </c>
      <c r="J845" s="38"/>
    </row>
    <row r="846" spans="1:10" ht="16" x14ac:dyDescent="0.2">
      <c r="A846" s="31"/>
      <c r="B846" s="33"/>
      <c r="C846" s="26"/>
      <c r="D846" s="4" t="s">
        <v>8</v>
      </c>
      <c r="E846" s="2">
        <v>152.66102999999998</v>
      </c>
      <c r="F846" s="28"/>
      <c r="G846" s="38"/>
      <c r="H846" s="2">
        <v>32.47775</v>
      </c>
      <c r="I846" s="28"/>
      <c r="J846" s="38"/>
    </row>
    <row r="847" spans="1:10" ht="16" x14ac:dyDescent="0.2">
      <c r="A847" s="31"/>
      <c r="B847" s="33"/>
      <c r="C847" s="26"/>
      <c r="D847" s="4" t="s">
        <v>9</v>
      </c>
      <c r="E847" s="2">
        <v>113.89977999999999</v>
      </c>
      <c r="F847" s="28"/>
      <c r="G847" s="38"/>
      <c r="H847" s="2">
        <v>24.26511</v>
      </c>
      <c r="I847" s="28"/>
      <c r="J847" s="38"/>
    </row>
    <row r="848" spans="1:10" ht="16" x14ac:dyDescent="0.2">
      <c r="A848" s="31"/>
      <c r="B848" s="33"/>
      <c r="C848" s="26"/>
      <c r="D848" s="4" t="s">
        <v>10</v>
      </c>
      <c r="E848" s="2">
        <v>122.40843000000001</v>
      </c>
      <c r="F848" s="28"/>
      <c r="G848" s="38"/>
      <c r="H848" s="2">
        <v>17.63597</v>
      </c>
      <c r="I848" s="28"/>
      <c r="J848" s="38"/>
    </row>
    <row r="849" spans="1:10" ht="16" x14ac:dyDescent="0.2">
      <c r="A849" s="31"/>
      <c r="B849" s="33"/>
      <c r="C849" s="26"/>
      <c r="D849" s="4" t="s">
        <v>11</v>
      </c>
      <c r="E849" s="2">
        <v>105.95862</v>
      </c>
      <c r="F849" s="29"/>
      <c r="G849" s="38"/>
      <c r="H849" s="2">
        <v>22.005230000000001</v>
      </c>
      <c r="I849" s="29"/>
      <c r="J849" s="38"/>
    </row>
    <row r="850" spans="1:10" ht="16" x14ac:dyDescent="0.2">
      <c r="A850" s="31"/>
      <c r="B850" s="33"/>
      <c r="C850" s="26">
        <v>5</v>
      </c>
      <c r="D850" s="4" t="s">
        <v>7</v>
      </c>
      <c r="E850" s="2">
        <v>129.49215000000001</v>
      </c>
      <c r="F850" s="27">
        <f t="shared" ref="F850" si="651">AVERAGE(E850:E854)</f>
        <v>128.43345199999999</v>
      </c>
      <c r="G850" s="38"/>
      <c r="H850" s="2">
        <v>32.54092</v>
      </c>
      <c r="I850" s="27">
        <f t="shared" ref="I850" si="652">AVERAGE(H850:H854)</f>
        <v>25.250486000000002</v>
      </c>
      <c r="J850" s="38"/>
    </row>
    <row r="851" spans="1:10" ht="16" x14ac:dyDescent="0.2">
      <c r="A851" s="31"/>
      <c r="B851" s="33"/>
      <c r="C851" s="26"/>
      <c r="D851" s="4" t="s">
        <v>8</v>
      </c>
      <c r="E851" s="2">
        <v>157.63467</v>
      </c>
      <c r="F851" s="28"/>
      <c r="G851" s="38"/>
      <c r="H851" s="2">
        <v>27.449679999999997</v>
      </c>
      <c r="I851" s="28"/>
      <c r="J851" s="38"/>
    </row>
    <row r="852" spans="1:10" ht="16" x14ac:dyDescent="0.2">
      <c r="A852" s="31"/>
      <c r="B852" s="33"/>
      <c r="C852" s="26"/>
      <c r="D852" s="4" t="s">
        <v>9</v>
      </c>
      <c r="E852" s="2">
        <v>122.21611000000001</v>
      </c>
      <c r="F852" s="28"/>
      <c r="G852" s="38"/>
      <c r="H852" s="2">
        <v>15.57878</v>
      </c>
      <c r="I852" s="28"/>
      <c r="J852" s="38"/>
    </row>
    <row r="853" spans="1:10" ht="16" x14ac:dyDescent="0.2">
      <c r="A853" s="31"/>
      <c r="B853" s="33"/>
      <c r="C853" s="26"/>
      <c r="D853" s="4" t="s">
        <v>10</v>
      </c>
      <c r="E853" s="2">
        <v>133.35728</v>
      </c>
      <c r="F853" s="28"/>
      <c r="G853" s="38"/>
      <c r="H853" s="2">
        <v>30.97728</v>
      </c>
      <c r="I853" s="28"/>
      <c r="J853" s="38"/>
    </row>
    <row r="854" spans="1:10" ht="16" x14ac:dyDescent="0.2">
      <c r="A854" s="31"/>
      <c r="B854" s="33"/>
      <c r="C854" s="26"/>
      <c r="D854" s="4" t="s">
        <v>11</v>
      </c>
      <c r="E854" s="2">
        <v>99.46705</v>
      </c>
      <c r="F854" s="29"/>
      <c r="G854" s="39"/>
      <c r="H854" s="2">
        <v>19.705770000000001</v>
      </c>
      <c r="I854" s="29"/>
      <c r="J854" s="39"/>
    </row>
    <row r="855" spans="1:10" ht="16" x14ac:dyDescent="0.2">
      <c r="A855" s="31"/>
      <c r="B855" s="33">
        <v>2</v>
      </c>
      <c r="C855" s="26">
        <v>1</v>
      </c>
      <c r="D855" s="4" t="s">
        <v>7</v>
      </c>
      <c r="E855" s="2">
        <v>121.58667</v>
      </c>
      <c r="F855" s="27">
        <f t="shared" ref="F855" si="653">AVERAGE(E855:E859)</f>
        <v>96.988702000000018</v>
      </c>
      <c r="G855" s="37">
        <f>AVERAGE(F855:F879)</f>
        <v>138.07799640000002</v>
      </c>
      <c r="H855" s="2">
        <v>25.145979000000001</v>
      </c>
      <c r="I855" s="27">
        <f t="shared" ref="I855" si="654">AVERAGE(H855:H859)</f>
        <v>26.0260718</v>
      </c>
      <c r="J855" s="37">
        <f t="shared" ref="J855" si="655">AVERAGE(I855:I879)</f>
        <v>24.88883676</v>
      </c>
    </row>
    <row r="856" spans="1:10" ht="16" x14ac:dyDescent="0.2">
      <c r="A856" s="31"/>
      <c r="B856" s="33"/>
      <c r="C856" s="26"/>
      <c r="D856" s="4" t="s">
        <v>8</v>
      </c>
      <c r="E856" s="2">
        <v>84.504040000000003</v>
      </c>
      <c r="F856" s="28"/>
      <c r="G856" s="38"/>
      <c r="H856" s="2">
        <v>20.032859999999999</v>
      </c>
      <c r="I856" s="28"/>
      <c r="J856" s="38"/>
    </row>
    <row r="857" spans="1:10" ht="16" x14ac:dyDescent="0.2">
      <c r="A857" s="31"/>
      <c r="B857" s="33"/>
      <c r="C857" s="26"/>
      <c r="D857" s="4" t="s">
        <v>9</v>
      </c>
      <c r="E857" s="2">
        <v>129.24538000000001</v>
      </c>
      <c r="F857" s="28"/>
      <c r="G857" s="38"/>
      <c r="H857" s="2">
        <v>31.737860000000001</v>
      </c>
      <c r="I857" s="28"/>
      <c r="J857" s="38"/>
    </row>
    <row r="858" spans="1:10" ht="16" x14ac:dyDescent="0.2">
      <c r="A858" s="31"/>
      <c r="B858" s="33"/>
      <c r="C858" s="26"/>
      <c r="D858" s="4" t="s">
        <v>10</v>
      </c>
      <c r="E858" s="2">
        <v>68.243639999999999</v>
      </c>
      <c r="F858" s="28"/>
      <c r="G858" s="38"/>
      <c r="H858" s="2">
        <v>30.337879999999998</v>
      </c>
      <c r="I858" s="28"/>
      <c r="J858" s="38"/>
    </row>
    <row r="859" spans="1:10" ht="16" x14ac:dyDescent="0.2">
      <c r="A859" s="31"/>
      <c r="B859" s="33"/>
      <c r="C859" s="26"/>
      <c r="D859" s="4" t="s">
        <v>11</v>
      </c>
      <c r="E859" s="2">
        <v>81.363779999999991</v>
      </c>
      <c r="F859" s="29"/>
      <c r="G859" s="38"/>
      <c r="H859" s="2">
        <v>22.875779999999999</v>
      </c>
      <c r="I859" s="29"/>
      <c r="J859" s="38"/>
    </row>
    <row r="860" spans="1:10" ht="16" x14ac:dyDescent="0.2">
      <c r="A860" s="31"/>
      <c r="B860" s="33"/>
      <c r="C860" s="26">
        <v>2</v>
      </c>
      <c r="D860" s="4" t="s">
        <v>7</v>
      </c>
      <c r="E860" s="2">
        <v>135.50575999999998</v>
      </c>
      <c r="F860" s="27">
        <f t="shared" ref="F860" si="656">AVERAGE(E860:E864)</f>
        <v>128.69079400000001</v>
      </c>
      <c r="G860" s="38"/>
      <c r="H860" s="2">
        <v>21.638290000000001</v>
      </c>
      <c r="I860" s="27">
        <f t="shared" ref="I860" si="657">AVERAGE(H860:H864)</f>
        <v>25.226788000000003</v>
      </c>
      <c r="J860" s="38"/>
    </row>
    <row r="861" spans="1:10" ht="16" x14ac:dyDescent="0.2">
      <c r="A861" s="31"/>
      <c r="B861" s="33"/>
      <c r="C861" s="26"/>
      <c r="D861" s="4" t="s">
        <v>8</v>
      </c>
      <c r="E861" s="2">
        <v>119.56611000000001</v>
      </c>
      <c r="F861" s="28"/>
      <c r="G861" s="38"/>
      <c r="H861" s="2">
        <v>24.613090000000003</v>
      </c>
      <c r="I861" s="28"/>
      <c r="J861" s="38"/>
    </row>
    <row r="862" spans="1:10" ht="16" x14ac:dyDescent="0.2">
      <c r="A862" s="31"/>
      <c r="B862" s="33"/>
      <c r="C862" s="26"/>
      <c r="D862" s="4" t="s">
        <v>9</v>
      </c>
      <c r="E862" s="2">
        <v>121.09648999999999</v>
      </c>
      <c r="F862" s="28"/>
      <c r="G862" s="38"/>
      <c r="H862" s="2">
        <v>34.463439999999999</v>
      </c>
      <c r="I862" s="28"/>
      <c r="J862" s="38"/>
    </row>
    <row r="863" spans="1:10" ht="16" x14ac:dyDescent="0.2">
      <c r="A863" s="31"/>
      <c r="B863" s="33"/>
      <c r="C863" s="26"/>
      <c r="D863" s="4" t="s">
        <v>10</v>
      </c>
      <c r="E863" s="2">
        <v>109.31648999999999</v>
      </c>
      <c r="F863" s="28"/>
      <c r="G863" s="38"/>
      <c r="H863" s="2">
        <v>20.583909999999999</v>
      </c>
      <c r="I863" s="28"/>
      <c r="J863" s="38"/>
    </row>
    <row r="864" spans="1:10" ht="16" x14ac:dyDescent="0.2">
      <c r="A864" s="31"/>
      <c r="B864" s="33"/>
      <c r="C864" s="26"/>
      <c r="D864" s="4" t="s">
        <v>11</v>
      </c>
      <c r="E864" s="2">
        <v>157.96912</v>
      </c>
      <c r="F864" s="29"/>
      <c r="G864" s="38"/>
      <c r="H864" s="2">
        <v>24.835210000000004</v>
      </c>
      <c r="I864" s="29"/>
      <c r="J864" s="38"/>
    </row>
    <row r="865" spans="1:10" ht="16" x14ac:dyDescent="0.2">
      <c r="A865" s="31"/>
      <c r="B865" s="33"/>
      <c r="C865" s="26">
        <v>3</v>
      </c>
      <c r="D865" s="4" t="s">
        <v>7</v>
      </c>
      <c r="E865" s="2">
        <v>141.98274000000001</v>
      </c>
      <c r="F865" s="27">
        <f t="shared" ref="F865" si="658">AVERAGE(E865:E869)</f>
        <v>161.366288</v>
      </c>
      <c r="G865" s="38"/>
      <c r="H865" s="2">
        <v>11.480589999999999</v>
      </c>
      <c r="I865" s="27">
        <f t="shared" ref="I865" si="659">AVERAGE(H865:H869)</f>
        <v>27.201708000000004</v>
      </c>
      <c r="J865" s="38"/>
    </row>
    <row r="866" spans="1:10" ht="16" x14ac:dyDescent="0.2">
      <c r="A866" s="31"/>
      <c r="B866" s="33"/>
      <c r="C866" s="26"/>
      <c r="D866" s="4" t="s">
        <v>8</v>
      </c>
      <c r="E866" s="2">
        <v>142.87066999999999</v>
      </c>
      <c r="F866" s="28"/>
      <c r="G866" s="38"/>
      <c r="H866" s="2">
        <v>21.185030000000001</v>
      </c>
      <c r="I866" s="28"/>
      <c r="J866" s="38"/>
    </row>
    <row r="867" spans="1:10" ht="16" x14ac:dyDescent="0.2">
      <c r="A867" s="31"/>
      <c r="B867" s="33"/>
      <c r="C867" s="26"/>
      <c r="D867" s="4" t="s">
        <v>9</v>
      </c>
      <c r="E867" s="2">
        <v>172.80511999999999</v>
      </c>
      <c r="F867" s="28"/>
      <c r="G867" s="38"/>
      <c r="H867" s="2">
        <v>35.308439999999997</v>
      </c>
      <c r="I867" s="28"/>
      <c r="J867" s="38"/>
    </row>
    <row r="868" spans="1:10" ht="16" x14ac:dyDescent="0.2">
      <c r="A868" s="31"/>
      <c r="B868" s="33"/>
      <c r="C868" s="26"/>
      <c r="D868" s="4" t="s">
        <v>10</v>
      </c>
      <c r="E868" s="2">
        <v>215.28740000000002</v>
      </c>
      <c r="F868" s="28"/>
      <c r="G868" s="38"/>
      <c r="H868" s="2">
        <v>29.533380000000001</v>
      </c>
      <c r="I868" s="28"/>
      <c r="J868" s="38"/>
    </row>
    <row r="869" spans="1:10" ht="16" x14ac:dyDescent="0.2">
      <c r="A869" s="31"/>
      <c r="B869" s="33"/>
      <c r="C869" s="26"/>
      <c r="D869" s="4" t="s">
        <v>11</v>
      </c>
      <c r="E869" s="2">
        <v>133.88550999999998</v>
      </c>
      <c r="F869" s="29"/>
      <c r="G869" s="38"/>
      <c r="H869" s="2">
        <v>38.501100000000001</v>
      </c>
      <c r="I869" s="29"/>
      <c r="J869" s="38"/>
    </row>
    <row r="870" spans="1:10" ht="16" x14ac:dyDescent="0.2">
      <c r="A870" s="31"/>
      <c r="B870" s="33"/>
      <c r="C870" s="26">
        <v>4</v>
      </c>
      <c r="D870" s="4" t="s">
        <v>7</v>
      </c>
      <c r="E870" s="2">
        <v>125.09822</v>
      </c>
      <c r="F870" s="27">
        <f t="shared" ref="F870" si="660">AVERAGE(E870:E874)</f>
        <v>147.97632000000002</v>
      </c>
      <c r="G870" s="38"/>
      <c r="H870" s="2">
        <v>12.89011</v>
      </c>
      <c r="I870" s="27">
        <f t="shared" ref="I870" si="661">AVERAGE(H870:H874)</f>
        <v>23.493882000000003</v>
      </c>
      <c r="J870" s="38"/>
    </row>
    <row r="871" spans="1:10" ht="16" x14ac:dyDescent="0.2">
      <c r="A871" s="31"/>
      <c r="B871" s="33"/>
      <c r="C871" s="26"/>
      <c r="D871" s="4" t="s">
        <v>8</v>
      </c>
      <c r="E871" s="2">
        <v>224.33441999999999</v>
      </c>
      <c r="F871" s="28"/>
      <c r="G871" s="38"/>
      <c r="H871" s="2">
        <v>30.0366</v>
      </c>
      <c r="I871" s="28"/>
      <c r="J871" s="38"/>
    </row>
    <row r="872" spans="1:10" ht="16" x14ac:dyDescent="0.2">
      <c r="A872" s="31"/>
      <c r="B872" s="33"/>
      <c r="C872" s="26"/>
      <c r="D872" s="4" t="s">
        <v>9</v>
      </c>
      <c r="E872" s="2">
        <v>115.15334000000001</v>
      </c>
      <c r="F872" s="28"/>
      <c r="G872" s="38"/>
      <c r="H872" s="2">
        <v>24.350169999999999</v>
      </c>
      <c r="I872" s="28"/>
      <c r="J872" s="38"/>
    </row>
    <row r="873" spans="1:10" ht="16" x14ac:dyDescent="0.2">
      <c r="A873" s="31"/>
      <c r="B873" s="33"/>
      <c r="C873" s="26"/>
      <c r="D873" s="4" t="s">
        <v>10</v>
      </c>
      <c r="E873" s="2">
        <v>131.61569</v>
      </c>
      <c r="F873" s="28"/>
      <c r="G873" s="38"/>
      <c r="H873" s="2">
        <v>24.267869999999998</v>
      </c>
      <c r="I873" s="28"/>
      <c r="J873" s="38"/>
    </row>
    <row r="874" spans="1:10" ht="16" x14ac:dyDescent="0.2">
      <c r="A874" s="31"/>
      <c r="B874" s="33"/>
      <c r="C874" s="26"/>
      <c r="D874" s="4" t="s">
        <v>11</v>
      </c>
      <c r="E874" s="2">
        <v>143.67993000000001</v>
      </c>
      <c r="F874" s="29"/>
      <c r="G874" s="38"/>
      <c r="H874" s="2">
        <v>25.924659999999999</v>
      </c>
      <c r="I874" s="29"/>
      <c r="J874" s="38"/>
    </row>
    <row r="875" spans="1:10" ht="16" x14ac:dyDescent="0.2">
      <c r="A875" s="31"/>
      <c r="B875" s="33"/>
      <c r="C875" s="26">
        <v>5</v>
      </c>
      <c r="D875" s="4" t="s">
        <v>7</v>
      </c>
      <c r="E875" s="2">
        <v>218.15853999999999</v>
      </c>
      <c r="F875" s="27">
        <f t="shared" ref="F875" si="662">AVERAGE(E875:E879)</f>
        <v>155.36787799999999</v>
      </c>
      <c r="G875" s="38"/>
      <c r="H875" s="2">
        <v>16.453019999999999</v>
      </c>
      <c r="I875" s="27">
        <f t="shared" ref="I875" si="663">AVERAGE(H875:H879)</f>
        <v>22.495733999999999</v>
      </c>
      <c r="J875" s="38"/>
    </row>
    <row r="876" spans="1:10" ht="16" x14ac:dyDescent="0.2">
      <c r="A876" s="31"/>
      <c r="B876" s="33"/>
      <c r="C876" s="26"/>
      <c r="D876" s="4" t="s">
        <v>8</v>
      </c>
      <c r="E876" s="2">
        <v>106.02906000000002</v>
      </c>
      <c r="F876" s="28"/>
      <c r="G876" s="38"/>
      <c r="H876" s="2">
        <v>24.010850000000001</v>
      </c>
      <c r="I876" s="28"/>
      <c r="J876" s="38"/>
    </row>
    <row r="877" spans="1:10" ht="16" x14ac:dyDescent="0.2">
      <c r="A877" s="31"/>
      <c r="B877" s="33"/>
      <c r="C877" s="26"/>
      <c r="D877" s="4" t="s">
        <v>9</v>
      </c>
      <c r="E877" s="2">
        <v>143.73580000000001</v>
      </c>
      <c r="F877" s="28"/>
      <c r="G877" s="38"/>
      <c r="H877" s="2">
        <v>21.158649999999998</v>
      </c>
      <c r="I877" s="28"/>
      <c r="J877" s="38"/>
    </row>
    <row r="878" spans="1:10" ht="16" x14ac:dyDescent="0.2">
      <c r="A878" s="31"/>
      <c r="B878" s="33"/>
      <c r="C878" s="26"/>
      <c r="D878" s="4" t="s">
        <v>10</v>
      </c>
      <c r="E878" s="2">
        <v>156.81977000000001</v>
      </c>
      <c r="F878" s="28"/>
      <c r="G878" s="38"/>
      <c r="H878" s="2">
        <v>28.041799999999999</v>
      </c>
      <c r="I878" s="28"/>
      <c r="J878" s="38"/>
    </row>
    <row r="879" spans="1:10" ht="16" x14ac:dyDescent="0.2">
      <c r="A879" s="31"/>
      <c r="B879" s="33"/>
      <c r="C879" s="26"/>
      <c r="D879" s="4" t="s">
        <v>11</v>
      </c>
      <c r="E879" s="2">
        <v>152.09621999999999</v>
      </c>
      <c r="F879" s="29"/>
      <c r="G879" s="39"/>
      <c r="H879" s="2">
        <v>22.814350000000001</v>
      </c>
      <c r="I879" s="29"/>
      <c r="J879" s="39"/>
    </row>
    <row r="880" spans="1:10" ht="16" x14ac:dyDescent="0.2">
      <c r="A880" s="31"/>
      <c r="B880" s="33">
        <v>3</v>
      </c>
      <c r="C880" s="26">
        <v>1</v>
      </c>
      <c r="D880" s="4" t="s">
        <v>7</v>
      </c>
      <c r="E880" s="2">
        <v>85.129159999999999</v>
      </c>
      <c r="F880" s="27">
        <f t="shared" ref="F880" si="664">AVERAGE(E880:E884)</f>
        <v>112.561618</v>
      </c>
      <c r="G880" s="37">
        <f>AVERAGE(F880:F904)</f>
        <v>130.3981344</v>
      </c>
      <c r="H880" s="2">
        <v>30.344029999999997</v>
      </c>
      <c r="I880" s="27">
        <f t="shared" ref="I880" si="665">AVERAGE(H880:H884)</f>
        <v>20.305104</v>
      </c>
      <c r="J880" s="37">
        <f t="shared" ref="J880" si="666">AVERAGE(I880:I904)</f>
        <v>24.1161064</v>
      </c>
    </row>
    <row r="881" spans="1:10" ht="16" x14ac:dyDescent="0.2">
      <c r="A881" s="31"/>
      <c r="B881" s="33"/>
      <c r="C881" s="26"/>
      <c r="D881" s="4" t="s">
        <v>8</v>
      </c>
      <c r="E881" s="2">
        <v>136.2516</v>
      </c>
      <c r="F881" s="28"/>
      <c r="G881" s="38"/>
      <c r="H881" s="2">
        <v>24.56391</v>
      </c>
      <c r="I881" s="28"/>
      <c r="J881" s="38"/>
    </row>
    <row r="882" spans="1:10" ht="16" x14ac:dyDescent="0.2">
      <c r="A882" s="31"/>
      <c r="B882" s="33"/>
      <c r="C882" s="26"/>
      <c r="D882" s="4" t="s">
        <v>9</v>
      </c>
      <c r="E882" s="2">
        <v>98.990480000000005</v>
      </c>
      <c r="F882" s="28"/>
      <c r="G882" s="38"/>
      <c r="H882" s="2">
        <v>14.677919999999999</v>
      </c>
      <c r="I882" s="28"/>
      <c r="J882" s="38"/>
    </row>
    <row r="883" spans="1:10" ht="16" x14ac:dyDescent="0.2">
      <c r="A883" s="31"/>
      <c r="B883" s="33"/>
      <c r="C883" s="26"/>
      <c r="D883" s="4" t="s">
        <v>10</v>
      </c>
      <c r="E883" s="2">
        <v>90.020330000000001</v>
      </c>
      <c r="F883" s="28"/>
      <c r="G883" s="38"/>
      <c r="H883" s="2">
        <v>13.190760000000001</v>
      </c>
      <c r="I883" s="28"/>
      <c r="J883" s="38"/>
    </row>
    <row r="884" spans="1:10" ht="16" x14ac:dyDescent="0.2">
      <c r="A884" s="31"/>
      <c r="B884" s="33"/>
      <c r="C884" s="26"/>
      <c r="D884" s="4" t="s">
        <v>11</v>
      </c>
      <c r="E884" s="2">
        <v>152.41651999999999</v>
      </c>
      <c r="F884" s="29"/>
      <c r="G884" s="38"/>
      <c r="H884" s="2">
        <v>18.748900000000003</v>
      </c>
      <c r="I884" s="29"/>
      <c r="J884" s="38"/>
    </row>
    <row r="885" spans="1:10" ht="16" x14ac:dyDescent="0.2">
      <c r="A885" s="31"/>
      <c r="B885" s="33"/>
      <c r="C885" s="26">
        <v>2</v>
      </c>
      <c r="D885" s="4" t="s">
        <v>7</v>
      </c>
      <c r="E885" s="2">
        <v>98.816540000000003</v>
      </c>
      <c r="F885" s="27">
        <f t="shared" ref="F885" si="667">AVERAGE(E885:E889)</f>
        <v>118.81741400000001</v>
      </c>
      <c r="G885" s="38"/>
      <c r="H885" s="2">
        <v>19.89011</v>
      </c>
      <c r="I885" s="27">
        <f t="shared" ref="I885" si="668">AVERAGE(H885:H889)</f>
        <v>20.808026000000002</v>
      </c>
      <c r="J885" s="38"/>
    </row>
    <row r="886" spans="1:10" ht="16" x14ac:dyDescent="0.2">
      <c r="A886" s="31"/>
      <c r="B886" s="33"/>
      <c r="C886" s="26"/>
      <c r="D886" s="4" t="s">
        <v>8</v>
      </c>
      <c r="E886" s="2">
        <v>94.722250000000003</v>
      </c>
      <c r="F886" s="28"/>
      <c r="G886" s="38"/>
      <c r="H886" s="2">
        <v>20.68901</v>
      </c>
      <c r="I886" s="28"/>
      <c r="J886" s="38"/>
    </row>
    <row r="887" spans="1:10" ht="16" x14ac:dyDescent="0.2">
      <c r="A887" s="31"/>
      <c r="B887" s="33"/>
      <c r="C887" s="26"/>
      <c r="D887" s="4" t="s">
        <v>9</v>
      </c>
      <c r="E887" s="2">
        <v>98.814940000000007</v>
      </c>
      <c r="F887" s="28"/>
      <c r="G887" s="38"/>
      <c r="H887" s="2">
        <v>29.564450000000001</v>
      </c>
      <c r="I887" s="28"/>
      <c r="J887" s="38"/>
    </row>
    <row r="888" spans="1:10" ht="16" x14ac:dyDescent="0.2">
      <c r="A888" s="31"/>
      <c r="B888" s="33"/>
      <c r="C888" s="26"/>
      <c r="D888" s="4" t="s">
        <v>10</v>
      </c>
      <c r="E888" s="2">
        <v>169.83559000000002</v>
      </c>
      <c r="F888" s="28"/>
      <c r="G888" s="38"/>
      <c r="H888" s="2">
        <v>15.934229999999999</v>
      </c>
      <c r="I888" s="28"/>
      <c r="J888" s="38"/>
    </row>
    <row r="889" spans="1:10" ht="16" x14ac:dyDescent="0.2">
      <c r="A889" s="31"/>
      <c r="B889" s="33"/>
      <c r="C889" s="26"/>
      <c r="D889" s="4" t="s">
        <v>11</v>
      </c>
      <c r="E889" s="2">
        <v>131.89775</v>
      </c>
      <c r="F889" s="29"/>
      <c r="G889" s="38"/>
      <c r="H889" s="2">
        <v>17.962329999999998</v>
      </c>
      <c r="I889" s="29"/>
      <c r="J889" s="38"/>
    </row>
    <row r="890" spans="1:10" ht="16" x14ac:dyDescent="0.2">
      <c r="A890" s="31"/>
      <c r="B890" s="33"/>
      <c r="C890" s="26">
        <v>3</v>
      </c>
      <c r="D890" s="4" t="s">
        <v>7</v>
      </c>
      <c r="E890" s="2">
        <v>97.740480000000005</v>
      </c>
      <c r="F890" s="27">
        <f t="shared" ref="F890" si="669">AVERAGE(E890:E894)</f>
        <v>108.78696400000001</v>
      </c>
      <c r="G890" s="38"/>
      <c r="H890" s="2">
        <v>17.72045</v>
      </c>
      <c r="I890" s="27">
        <f t="shared" ref="I890" si="670">AVERAGE(H890:H894)</f>
        <v>22.519476000000001</v>
      </c>
      <c r="J890" s="38"/>
    </row>
    <row r="891" spans="1:10" ht="16" x14ac:dyDescent="0.2">
      <c r="A891" s="31"/>
      <c r="B891" s="33"/>
      <c r="C891" s="26"/>
      <c r="D891" s="4" t="s">
        <v>8</v>
      </c>
      <c r="E891" s="2">
        <v>160.12979999999999</v>
      </c>
      <c r="F891" s="28"/>
      <c r="G891" s="38"/>
      <c r="H891" s="2">
        <v>25.578780000000002</v>
      </c>
      <c r="I891" s="28"/>
      <c r="J891" s="38"/>
    </row>
    <row r="892" spans="1:10" ht="16" x14ac:dyDescent="0.2">
      <c r="A892" s="31"/>
      <c r="B892" s="33"/>
      <c r="C892" s="26"/>
      <c r="D892" s="4" t="s">
        <v>9</v>
      </c>
      <c r="E892" s="2">
        <v>90.732180000000014</v>
      </c>
      <c r="F892" s="28"/>
      <c r="G892" s="38"/>
      <c r="H892" s="2">
        <v>17.967120000000001</v>
      </c>
      <c r="I892" s="28"/>
      <c r="J892" s="38"/>
    </row>
    <row r="893" spans="1:10" ht="16" x14ac:dyDescent="0.2">
      <c r="A893" s="31"/>
      <c r="B893" s="33"/>
      <c r="C893" s="26"/>
      <c r="D893" s="4" t="s">
        <v>10</v>
      </c>
      <c r="E893" s="2">
        <v>96.822870000000009</v>
      </c>
      <c r="F893" s="28"/>
      <c r="G893" s="38"/>
      <c r="H893" s="2">
        <v>27.72045</v>
      </c>
      <c r="I893" s="28"/>
      <c r="J893" s="38"/>
    </row>
    <row r="894" spans="1:10" ht="16" x14ac:dyDescent="0.2">
      <c r="A894" s="31"/>
      <c r="B894" s="33"/>
      <c r="C894" s="26"/>
      <c r="D894" s="4" t="s">
        <v>11</v>
      </c>
      <c r="E894" s="2">
        <v>98.50949</v>
      </c>
      <c r="F894" s="29"/>
      <c r="G894" s="38"/>
      <c r="H894" s="2">
        <v>23.610579999999999</v>
      </c>
      <c r="I894" s="29"/>
      <c r="J894" s="38"/>
    </row>
    <row r="895" spans="1:10" ht="16" x14ac:dyDescent="0.2">
      <c r="A895" s="31"/>
      <c r="B895" s="33"/>
      <c r="C895" s="26">
        <v>4</v>
      </c>
      <c r="D895" s="4" t="s">
        <v>7</v>
      </c>
      <c r="E895" s="2">
        <v>166.79092</v>
      </c>
      <c r="F895" s="27">
        <f t="shared" ref="F895" si="671">AVERAGE(E895:E899)</f>
        <v>168.313108</v>
      </c>
      <c r="G895" s="38"/>
      <c r="H895" s="2">
        <v>28.194510000000001</v>
      </c>
      <c r="I895" s="27">
        <f t="shared" ref="I895" si="672">AVERAGE(H895:H899)</f>
        <v>36.829120000000003</v>
      </c>
      <c r="J895" s="38"/>
    </row>
    <row r="896" spans="1:10" ht="16" x14ac:dyDescent="0.2">
      <c r="A896" s="31"/>
      <c r="B896" s="33"/>
      <c r="C896" s="26"/>
      <c r="D896" s="4" t="s">
        <v>8</v>
      </c>
      <c r="E896" s="2">
        <v>158.31267</v>
      </c>
      <c r="F896" s="28"/>
      <c r="G896" s="38"/>
      <c r="H896" s="2">
        <v>17.723779999999998</v>
      </c>
      <c r="I896" s="28"/>
      <c r="J896" s="38"/>
    </row>
    <row r="897" spans="1:10" ht="16" x14ac:dyDescent="0.2">
      <c r="A897" s="31"/>
      <c r="B897" s="33"/>
      <c r="C897" s="26"/>
      <c r="D897" s="4" t="s">
        <v>9</v>
      </c>
      <c r="E897" s="2">
        <v>172.33126000000001</v>
      </c>
      <c r="F897" s="28"/>
      <c r="G897" s="38"/>
      <c r="H897" s="2">
        <v>22.881070000000001</v>
      </c>
      <c r="I897" s="28"/>
      <c r="J897" s="38"/>
    </row>
    <row r="898" spans="1:10" ht="16" x14ac:dyDescent="0.2">
      <c r="A898" s="31"/>
      <c r="B898" s="33"/>
      <c r="C898" s="26"/>
      <c r="D898" s="4" t="s">
        <v>10</v>
      </c>
      <c r="E898" s="2">
        <v>172.98758999999998</v>
      </c>
      <c r="F898" s="28"/>
      <c r="G898" s="38"/>
      <c r="H898" s="2">
        <v>98.316399999999987</v>
      </c>
      <c r="I898" s="28"/>
      <c r="J898" s="38"/>
    </row>
    <row r="899" spans="1:10" ht="16" x14ac:dyDescent="0.2">
      <c r="A899" s="31"/>
      <c r="B899" s="33"/>
      <c r="C899" s="26"/>
      <c r="D899" s="4" t="s">
        <v>11</v>
      </c>
      <c r="E899" s="2">
        <v>171.1431</v>
      </c>
      <c r="F899" s="29"/>
      <c r="G899" s="38"/>
      <c r="H899" s="2">
        <v>17.02984</v>
      </c>
      <c r="I899" s="29"/>
      <c r="J899" s="38"/>
    </row>
    <row r="900" spans="1:10" ht="16" x14ac:dyDescent="0.2">
      <c r="A900" s="31"/>
      <c r="B900" s="33"/>
      <c r="C900" s="26">
        <v>5</v>
      </c>
      <c r="D900" s="4" t="s">
        <v>7</v>
      </c>
      <c r="E900" s="2">
        <v>168.17534000000001</v>
      </c>
      <c r="F900" s="27">
        <f t="shared" ref="F900" si="673">AVERAGE(E900:E904)</f>
        <v>143.51156799999998</v>
      </c>
      <c r="G900" s="38"/>
      <c r="H900" s="2">
        <v>24.507559999999998</v>
      </c>
      <c r="I900" s="27">
        <f t="shared" ref="I900" si="674">AVERAGE(H900:H904)</f>
        <v>20.118805999999999</v>
      </c>
      <c r="J900" s="38"/>
    </row>
    <row r="901" spans="1:10" ht="16" x14ac:dyDescent="0.2">
      <c r="A901" s="31"/>
      <c r="B901" s="33"/>
      <c r="C901" s="26"/>
      <c r="D901" s="4" t="s">
        <v>8</v>
      </c>
      <c r="E901" s="2">
        <v>140.66897</v>
      </c>
      <c r="F901" s="28"/>
      <c r="G901" s="38"/>
      <c r="H901" s="2">
        <v>25.470549999999999</v>
      </c>
      <c r="I901" s="28"/>
      <c r="J901" s="38"/>
    </row>
    <row r="902" spans="1:10" ht="16" x14ac:dyDescent="0.2">
      <c r="A902" s="31"/>
      <c r="B902" s="33"/>
      <c r="C902" s="26"/>
      <c r="D902" s="4" t="s">
        <v>9</v>
      </c>
      <c r="E902" s="2">
        <v>154.04399000000001</v>
      </c>
      <c r="F902" s="28"/>
      <c r="G902" s="38"/>
      <c r="H902" s="2">
        <v>22.83071</v>
      </c>
      <c r="I902" s="28"/>
      <c r="J902" s="38"/>
    </row>
    <row r="903" spans="1:10" ht="16" x14ac:dyDescent="0.2">
      <c r="A903" s="31"/>
      <c r="B903" s="33"/>
      <c r="C903" s="26"/>
      <c r="D903" s="4" t="s">
        <v>10</v>
      </c>
      <c r="E903" s="2">
        <v>120.38305</v>
      </c>
      <c r="F903" s="28"/>
      <c r="G903" s="38"/>
      <c r="H903" s="2">
        <v>12.01586</v>
      </c>
      <c r="I903" s="28"/>
      <c r="J903" s="38"/>
    </row>
    <row r="904" spans="1:10" ht="16" x14ac:dyDescent="0.2">
      <c r="A904" s="32"/>
      <c r="B904" s="33"/>
      <c r="C904" s="26"/>
      <c r="D904" s="4" t="s">
        <v>11</v>
      </c>
      <c r="E904" s="2">
        <v>134.28648999999999</v>
      </c>
      <c r="F904" s="29"/>
      <c r="G904" s="39"/>
      <c r="H904" s="2">
        <v>15.769349999999999</v>
      </c>
      <c r="I904" s="29"/>
      <c r="J904" s="39"/>
    </row>
  </sheetData>
  <mergeCells count="1100">
    <mergeCell ref="J630:J654"/>
    <mergeCell ref="J655:J679"/>
    <mergeCell ref="J680:J704"/>
    <mergeCell ref="J705:J729"/>
    <mergeCell ref="J730:J754"/>
    <mergeCell ref="J755:J779"/>
    <mergeCell ref="J780:J804"/>
    <mergeCell ref="J805:J829"/>
    <mergeCell ref="J830:J854"/>
    <mergeCell ref="J855:J879"/>
    <mergeCell ref="J880:J904"/>
    <mergeCell ref="U405:U429"/>
    <mergeCell ref="U430:U454"/>
    <mergeCell ref="U455:U479"/>
    <mergeCell ref="U480:U504"/>
    <mergeCell ref="U505:U529"/>
    <mergeCell ref="U530:U554"/>
    <mergeCell ref="U555:U579"/>
    <mergeCell ref="U580:U604"/>
    <mergeCell ref="T555:T559"/>
    <mergeCell ref="T560:T564"/>
    <mergeCell ref="T565:T569"/>
    <mergeCell ref="T570:T574"/>
    <mergeCell ref="T575:T579"/>
    <mergeCell ref="T580:T584"/>
    <mergeCell ref="T585:T589"/>
    <mergeCell ref="T590:T594"/>
    <mergeCell ref="T595:T599"/>
    <mergeCell ref="T600:T604"/>
    <mergeCell ref="T475:T479"/>
    <mergeCell ref="T480:T484"/>
    <mergeCell ref="T485:T489"/>
    <mergeCell ref="U5:U29"/>
    <mergeCell ref="U30:U54"/>
    <mergeCell ref="U55:U79"/>
    <mergeCell ref="U80:U104"/>
    <mergeCell ref="U105:U129"/>
    <mergeCell ref="U130:U154"/>
    <mergeCell ref="U155:U179"/>
    <mergeCell ref="U180:U204"/>
    <mergeCell ref="U205:U229"/>
    <mergeCell ref="U230:U254"/>
    <mergeCell ref="U255:U279"/>
    <mergeCell ref="U280:U304"/>
    <mergeCell ref="U305:U329"/>
    <mergeCell ref="U330:U354"/>
    <mergeCell ref="U355:U379"/>
    <mergeCell ref="U380:U404"/>
    <mergeCell ref="T470:T474"/>
    <mergeCell ref="T300:T304"/>
    <mergeCell ref="T305:T309"/>
    <mergeCell ref="T310:T314"/>
    <mergeCell ref="T315:T319"/>
    <mergeCell ref="T320:T324"/>
    <mergeCell ref="T325:T329"/>
    <mergeCell ref="T330:T334"/>
    <mergeCell ref="T335:T339"/>
    <mergeCell ref="T340:T344"/>
    <mergeCell ref="T345:T349"/>
    <mergeCell ref="T350:T354"/>
    <mergeCell ref="T355:T359"/>
    <mergeCell ref="T360:T364"/>
    <mergeCell ref="T365:T369"/>
    <mergeCell ref="T370:T374"/>
    <mergeCell ref="T490:T494"/>
    <mergeCell ref="T495:T499"/>
    <mergeCell ref="T540:T544"/>
    <mergeCell ref="T545:T549"/>
    <mergeCell ref="T550:T554"/>
    <mergeCell ref="T385:T389"/>
    <mergeCell ref="T390:T394"/>
    <mergeCell ref="T395:T399"/>
    <mergeCell ref="T400:T404"/>
    <mergeCell ref="T405:T409"/>
    <mergeCell ref="T410:T414"/>
    <mergeCell ref="T415:T419"/>
    <mergeCell ref="T420:T424"/>
    <mergeCell ref="T425:T429"/>
    <mergeCell ref="T430:T434"/>
    <mergeCell ref="T435:T439"/>
    <mergeCell ref="T440:T444"/>
    <mergeCell ref="T445:T449"/>
    <mergeCell ref="T450:T454"/>
    <mergeCell ref="T455:T459"/>
    <mergeCell ref="T460:T464"/>
    <mergeCell ref="T465:T469"/>
    <mergeCell ref="T500:T504"/>
    <mergeCell ref="T505:T509"/>
    <mergeCell ref="T510:T514"/>
    <mergeCell ref="T515:T519"/>
    <mergeCell ref="T520:T524"/>
    <mergeCell ref="T525:T529"/>
    <mergeCell ref="T530:T534"/>
    <mergeCell ref="T535:T539"/>
    <mergeCell ref="T375:T379"/>
    <mergeCell ref="T380:T384"/>
    <mergeCell ref="T215:T219"/>
    <mergeCell ref="T220:T224"/>
    <mergeCell ref="T225:T229"/>
    <mergeCell ref="T230:T234"/>
    <mergeCell ref="T235:T239"/>
    <mergeCell ref="T240:T244"/>
    <mergeCell ref="T245:T249"/>
    <mergeCell ref="T250:T254"/>
    <mergeCell ref="T255:T259"/>
    <mergeCell ref="T260:T264"/>
    <mergeCell ref="T265:T269"/>
    <mergeCell ref="T270:T274"/>
    <mergeCell ref="T275:T279"/>
    <mergeCell ref="T280:T284"/>
    <mergeCell ref="T285:T289"/>
    <mergeCell ref="T290:T294"/>
    <mergeCell ref="T295:T299"/>
    <mergeCell ref="T130:T134"/>
    <mergeCell ref="T135:T139"/>
    <mergeCell ref="T140:T144"/>
    <mergeCell ref="T145:T149"/>
    <mergeCell ref="T150:T154"/>
    <mergeCell ref="T155:T159"/>
    <mergeCell ref="T160:T164"/>
    <mergeCell ref="T165:T169"/>
    <mergeCell ref="T170:T174"/>
    <mergeCell ref="T175:T179"/>
    <mergeCell ref="T180:T184"/>
    <mergeCell ref="T185:T189"/>
    <mergeCell ref="T190:T194"/>
    <mergeCell ref="T195:T199"/>
    <mergeCell ref="T200:T204"/>
    <mergeCell ref="T205:T209"/>
    <mergeCell ref="T210:T214"/>
    <mergeCell ref="T5:T9"/>
    <mergeCell ref="T10:T14"/>
    <mergeCell ref="T15:T19"/>
    <mergeCell ref="T20:T24"/>
    <mergeCell ref="T25:T29"/>
    <mergeCell ref="T30:T34"/>
    <mergeCell ref="T35:T39"/>
    <mergeCell ref="T40:T44"/>
    <mergeCell ref="T45:T49"/>
    <mergeCell ref="T50:T54"/>
    <mergeCell ref="T55:T59"/>
    <mergeCell ref="T60:T64"/>
    <mergeCell ref="T65:T69"/>
    <mergeCell ref="T70:T74"/>
    <mergeCell ref="T75:T79"/>
    <mergeCell ref="T80:T84"/>
    <mergeCell ref="T85:T89"/>
    <mergeCell ref="Q565:Q569"/>
    <mergeCell ref="Q570:Q574"/>
    <mergeCell ref="Q575:Q579"/>
    <mergeCell ref="Q580:Q584"/>
    <mergeCell ref="Q585:Q589"/>
    <mergeCell ref="Q590:Q594"/>
    <mergeCell ref="Q595:Q599"/>
    <mergeCell ref="Q600:Q604"/>
    <mergeCell ref="R5:R29"/>
    <mergeCell ref="R30:R54"/>
    <mergeCell ref="R55:R79"/>
    <mergeCell ref="R80:R104"/>
    <mergeCell ref="R105:R129"/>
    <mergeCell ref="R130:R154"/>
    <mergeCell ref="R155:R179"/>
    <mergeCell ref="R180:R204"/>
    <mergeCell ref="R205:R229"/>
    <mergeCell ref="R230:R254"/>
    <mergeCell ref="R255:R279"/>
    <mergeCell ref="R280:R304"/>
    <mergeCell ref="R305:R329"/>
    <mergeCell ref="R330:R354"/>
    <mergeCell ref="R355:R379"/>
    <mergeCell ref="R380:R404"/>
    <mergeCell ref="R405:R429"/>
    <mergeCell ref="R430:R454"/>
    <mergeCell ref="R455:R479"/>
    <mergeCell ref="R480:R504"/>
    <mergeCell ref="R505:R529"/>
    <mergeCell ref="R530:R554"/>
    <mergeCell ref="R555:R579"/>
    <mergeCell ref="R580:R604"/>
    <mergeCell ref="Q480:Q484"/>
    <mergeCell ref="Q485:Q489"/>
    <mergeCell ref="Q490:Q494"/>
    <mergeCell ref="Q495:Q499"/>
    <mergeCell ref="Q500:Q504"/>
    <mergeCell ref="Q505:Q509"/>
    <mergeCell ref="Q510:Q514"/>
    <mergeCell ref="Q515:Q519"/>
    <mergeCell ref="Q520:Q524"/>
    <mergeCell ref="Q525:Q529"/>
    <mergeCell ref="Q530:Q534"/>
    <mergeCell ref="Q535:Q539"/>
    <mergeCell ref="Q540:Q544"/>
    <mergeCell ref="Q545:Q549"/>
    <mergeCell ref="Q550:Q554"/>
    <mergeCell ref="Q555:Q559"/>
    <mergeCell ref="Q560:Q564"/>
    <mergeCell ref="Q395:Q399"/>
    <mergeCell ref="Q400:Q404"/>
    <mergeCell ref="Q405:Q409"/>
    <mergeCell ref="Q410:Q414"/>
    <mergeCell ref="Q415:Q419"/>
    <mergeCell ref="Q420:Q424"/>
    <mergeCell ref="Q425:Q429"/>
    <mergeCell ref="Q430:Q434"/>
    <mergeCell ref="Q435:Q439"/>
    <mergeCell ref="Q440:Q444"/>
    <mergeCell ref="Q445:Q449"/>
    <mergeCell ref="Q450:Q454"/>
    <mergeCell ref="Q455:Q459"/>
    <mergeCell ref="Q460:Q464"/>
    <mergeCell ref="Q465:Q469"/>
    <mergeCell ref="Q470:Q474"/>
    <mergeCell ref="Q475:Q479"/>
    <mergeCell ref="Q300:Q304"/>
    <mergeCell ref="Q305:Q309"/>
    <mergeCell ref="Q310:Q314"/>
    <mergeCell ref="Q315:Q319"/>
    <mergeCell ref="Q320:Q324"/>
    <mergeCell ref="Q325:Q329"/>
    <mergeCell ref="Q330:Q334"/>
    <mergeCell ref="Q335:Q339"/>
    <mergeCell ref="Q340:Q344"/>
    <mergeCell ref="Q345:Q349"/>
    <mergeCell ref="Q350:Q354"/>
    <mergeCell ref="Q355:Q359"/>
    <mergeCell ref="Q360:Q364"/>
    <mergeCell ref="Q365:Q369"/>
    <mergeCell ref="Q370:Q374"/>
    <mergeCell ref="Q375:Q379"/>
    <mergeCell ref="Q380:Q384"/>
    <mergeCell ref="Q205:Q209"/>
    <mergeCell ref="Q210:Q214"/>
    <mergeCell ref="Q215:Q219"/>
    <mergeCell ref="Q220:Q224"/>
    <mergeCell ref="Q225:Q229"/>
    <mergeCell ref="Q230:Q234"/>
    <mergeCell ref="Q235:Q239"/>
    <mergeCell ref="Q240:Q244"/>
    <mergeCell ref="Q245:Q249"/>
    <mergeCell ref="Q250:Q254"/>
    <mergeCell ref="Q255:Q259"/>
    <mergeCell ref="Q260:Q264"/>
    <mergeCell ref="Q265:Q269"/>
    <mergeCell ref="Q270:Q274"/>
    <mergeCell ref="Q275:Q279"/>
    <mergeCell ref="Q280:Q284"/>
    <mergeCell ref="Q285:Q289"/>
    <mergeCell ref="Q5:Q9"/>
    <mergeCell ref="Q10:Q14"/>
    <mergeCell ref="Q15:Q19"/>
    <mergeCell ref="Q20:Q24"/>
    <mergeCell ref="Q25:Q29"/>
    <mergeCell ref="Q30:Q34"/>
    <mergeCell ref="Q35:Q39"/>
    <mergeCell ref="Q40:Q44"/>
    <mergeCell ref="Q45:Q49"/>
    <mergeCell ref="Q50:Q54"/>
    <mergeCell ref="Q55:Q59"/>
    <mergeCell ref="Q60:Q64"/>
    <mergeCell ref="Q65:Q69"/>
    <mergeCell ref="Q70:Q74"/>
    <mergeCell ref="Q75:Q79"/>
    <mergeCell ref="Q80:Q84"/>
    <mergeCell ref="Q85:Q89"/>
    <mergeCell ref="I870:I874"/>
    <mergeCell ref="I875:I879"/>
    <mergeCell ref="I880:I884"/>
    <mergeCell ref="I885:I889"/>
    <mergeCell ref="I890:I894"/>
    <mergeCell ref="I895:I899"/>
    <mergeCell ref="I900:I904"/>
    <mergeCell ref="J5:J29"/>
    <mergeCell ref="J30:J54"/>
    <mergeCell ref="J55:J79"/>
    <mergeCell ref="J80:J104"/>
    <mergeCell ref="J105:J129"/>
    <mergeCell ref="J130:J154"/>
    <mergeCell ref="J155:J179"/>
    <mergeCell ref="J180:J204"/>
    <mergeCell ref="J205:J229"/>
    <mergeCell ref="J230:J254"/>
    <mergeCell ref="J255:J279"/>
    <mergeCell ref="J280:J304"/>
    <mergeCell ref="J305:J329"/>
    <mergeCell ref="J330:J354"/>
    <mergeCell ref="J355:J379"/>
    <mergeCell ref="J380:J404"/>
    <mergeCell ref="J405:J429"/>
    <mergeCell ref="J430:J454"/>
    <mergeCell ref="J455:J479"/>
    <mergeCell ref="J480:J504"/>
    <mergeCell ref="J505:J529"/>
    <mergeCell ref="J530:J554"/>
    <mergeCell ref="J555:J579"/>
    <mergeCell ref="J580:J604"/>
    <mergeCell ref="J605:J629"/>
    <mergeCell ref="I840:I844"/>
    <mergeCell ref="I845:I849"/>
    <mergeCell ref="I615:I619"/>
    <mergeCell ref="I620:I624"/>
    <mergeCell ref="I625:I629"/>
    <mergeCell ref="I630:I634"/>
    <mergeCell ref="I635:I639"/>
    <mergeCell ref="I640:I644"/>
    <mergeCell ref="I645:I649"/>
    <mergeCell ref="I650:I654"/>
    <mergeCell ref="I655:I659"/>
    <mergeCell ref="I660:I664"/>
    <mergeCell ref="I665:I669"/>
    <mergeCell ref="I670:I674"/>
    <mergeCell ref="I675:I679"/>
    <mergeCell ref="I680:I684"/>
    <mergeCell ref="I685:I689"/>
    <mergeCell ref="I690:I694"/>
    <mergeCell ref="I695:I699"/>
    <mergeCell ref="I850:I854"/>
    <mergeCell ref="I855:I859"/>
    <mergeCell ref="I860:I864"/>
    <mergeCell ref="I865:I869"/>
    <mergeCell ref="I700:I704"/>
    <mergeCell ref="I705:I709"/>
    <mergeCell ref="I710:I714"/>
    <mergeCell ref="I715:I719"/>
    <mergeCell ref="I720:I724"/>
    <mergeCell ref="I725:I729"/>
    <mergeCell ref="I730:I734"/>
    <mergeCell ref="I735:I739"/>
    <mergeCell ref="I740:I744"/>
    <mergeCell ref="I745:I749"/>
    <mergeCell ref="I750:I754"/>
    <mergeCell ref="I755:I759"/>
    <mergeCell ref="I760:I764"/>
    <mergeCell ref="I765:I769"/>
    <mergeCell ref="I770:I774"/>
    <mergeCell ref="I775:I779"/>
    <mergeCell ref="I780:I784"/>
    <mergeCell ref="I785:I789"/>
    <mergeCell ref="I790:I794"/>
    <mergeCell ref="I795:I799"/>
    <mergeCell ref="I800:I804"/>
    <mergeCell ref="I805:I809"/>
    <mergeCell ref="I810:I814"/>
    <mergeCell ref="I815:I819"/>
    <mergeCell ref="I820:I824"/>
    <mergeCell ref="I825:I829"/>
    <mergeCell ref="I830:I834"/>
    <mergeCell ref="I835:I839"/>
    <mergeCell ref="I530:I534"/>
    <mergeCell ref="I535:I539"/>
    <mergeCell ref="I540:I544"/>
    <mergeCell ref="I545:I549"/>
    <mergeCell ref="I550:I554"/>
    <mergeCell ref="I555:I559"/>
    <mergeCell ref="I560:I564"/>
    <mergeCell ref="I565:I569"/>
    <mergeCell ref="I570:I574"/>
    <mergeCell ref="I575:I579"/>
    <mergeCell ref="I580:I584"/>
    <mergeCell ref="I585:I589"/>
    <mergeCell ref="I590:I594"/>
    <mergeCell ref="I595:I599"/>
    <mergeCell ref="I600:I604"/>
    <mergeCell ref="I605:I609"/>
    <mergeCell ref="I610:I614"/>
    <mergeCell ref="I390:I394"/>
    <mergeCell ref="I395:I399"/>
    <mergeCell ref="I400:I404"/>
    <mergeCell ref="I405:I409"/>
    <mergeCell ref="I410:I414"/>
    <mergeCell ref="I415:I419"/>
    <mergeCell ref="I420:I424"/>
    <mergeCell ref="I425:I429"/>
    <mergeCell ref="I430:I434"/>
    <mergeCell ref="I435:I439"/>
    <mergeCell ref="I440:I444"/>
    <mergeCell ref="I445:I449"/>
    <mergeCell ref="I450:I454"/>
    <mergeCell ref="I455:I459"/>
    <mergeCell ref="I460:I464"/>
    <mergeCell ref="I465:I469"/>
    <mergeCell ref="I470:I474"/>
    <mergeCell ref="I305:I309"/>
    <mergeCell ref="I310:I314"/>
    <mergeCell ref="I315:I319"/>
    <mergeCell ref="I320:I324"/>
    <mergeCell ref="I325:I329"/>
    <mergeCell ref="I330:I334"/>
    <mergeCell ref="I335:I339"/>
    <mergeCell ref="I340:I344"/>
    <mergeCell ref="I345:I349"/>
    <mergeCell ref="I350:I354"/>
    <mergeCell ref="I355:I359"/>
    <mergeCell ref="I360:I364"/>
    <mergeCell ref="I365:I369"/>
    <mergeCell ref="I370:I374"/>
    <mergeCell ref="I375:I379"/>
    <mergeCell ref="I380:I384"/>
    <mergeCell ref="I385:I389"/>
    <mergeCell ref="I220:I224"/>
    <mergeCell ref="I225:I229"/>
    <mergeCell ref="I230:I234"/>
    <mergeCell ref="I235:I239"/>
    <mergeCell ref="I240:I244"/>
    <mergeCell ref="I245:I249"/>
    <mergeCell ref="I250:I254"/>
    <mergeCell ref="I255:I259"/>
    <mergeCell ref="I260:I264"/>
    <mergeCell ref="I265:I269"/>
    <mergeCell ref="I270:I274"/>
    <mergeCell ref="I275:I279"/>
    <mergeCell ref="I280:I284"/>
    <mergeCell ref="I285:I289"/>
    <mergeCell ref="I290:I294"/>
    <mergeCell ref="I295:I299"/>
    <mergeCell ref="I300:I304"/>
    <mergeCell ref="G830:G854"/>
    <mergeCell ref="G855:G879"/>
    <mergeCell ref="G880:G904"/>
    <mergeCell ref="I5:I9"/>
    <mergeCell ref="I10:I14"/>
    <mergeCell ref="I15:I19"/>
    <mergeCell ref="I20:I24"/>
    <mergeCell ref="I25:I29"/>
    <mergeCell ref="I30:I34"/>
    <mergeCell ref="I35:I39"/>
    <mergeCell ref="I40:I44"/>
    <mergeCell ref="I45:I49"/>
    <mergeCell ref="I50:I54"/>
    <mergeCell ref="I55:I59"/>
    <mergeCell ref="I60:I64"/>
    <mergeCell ref="I65:I69"/>
    <mergeCell ref="I70:I74"/>
    <mergeCell ref="I75:I79"/>
    <mergeCell ref="I80:I84"/>
    <mergeCell ref="I85:I89"/>
    <mergeCell ref="I90:I94"/>
    <mergeCell ref="I95:I99"/>
    <mergeCell ref="I100:I104"/>
    <mergeCell ref="I105:I109"/>
    <mergeCell ref="I110:I114"/>
    <mergeCell ref="I115:I119"/>
    <mergeCell ref="I120:I124"/>
    <mergeCell ref="I125:I129"/>
    <mergeCell ref="I130:I134"/>
    <mergeCell ref="I135:I139"/>
    <mergeCell ref="I140:I144"/>
    <mergeCell ref="I145:I149"/>
    <mergeCell ref="G405:G429"/>
    <mergeCell ref="G430:G454"/>
    <mergeCell ref="G455:G479"/>
    <mergeCell ref="G480:G504"/>
    <mergeCell ref="G505:G529"/>
    <mergeCell ref="G530:G554"/>
    <mergeCell ref="G555:G579"/>
    <mergeCell ref="G580:G604"/>
    <mergeCell ref="G605:G629"/>
    <mergeCell ref="G630:G654"/>
    <mergeCell ref="G655:G679"/>
    <mergeCell ref="G680:G704"/>
    <mergeCell ref="G705:G729"/>
    <mergeCell ref="G730:G754"/>
    <mergeCell ref="G755:G779"/>
    <mergeCell ref="G780:G804"/>
    <mergeCell ref="G805:G829"/>
    <mergeCell ref="F830:F834"/>
    <mergeCell ref="F835:F839"/>
    <mergeCell ref="F840:F844"/>
    <mergeCell ref="F845:F849"/>
    <mergeCell ref="F850:F854"/>
    <mergeCell ref="F855:F859"/>
    <mergeCell ref="F860:F864"/>
    <mergeCell ref="F865:F869"/>
    <mergeCell ref="F870:F874"/>
    <mergeCell ref="F875:F879"/>
    <mergeCell ref="F880:F884"/>
    <mergeCell ref="F885:F889"/>
    <mergeCell ref="F890:F894"/>
    <mergeCell ref="F895:F899"/>
    <mergeCell ref="F900:F904"/>
    <mergeCell ref="G5:G29"/>
    <mergeCell ref="G30:G54"/>
    <mergeCell ref="G55:G79"/>
    <mergeCell ref="G80:G104"/>
    <mergeCell ref="G105:G129"/>
    <mergeCell ref="G130:G154"/>
    <mergeCell ref="G155:G179"/>
    <mergeCell ref="G180:G204"/>
    <mergeCell ref="G205:G229"/>
    <mergeCell ref="G230:G254"/>
    <mergeCell ref="G255:G279"/>
    <mergeCell ref="G280:G304"/>
    <mergeCell ref="G305:G329"/>
    <mergeCell ref="G330:G354"/>
    <mergeCell ref="G355:G379"/>
    <mergeCell ref="G380:G404"/>
    <mergeCell ref="F680:F684"/>
    <mergeCell ref="F685:F689"/>
    <mergeCell ref="F690:F694"/>
    <mergeCell ref="F695:F699"/>
    <mergeCell ref="F700:F704"/>
    <mergeCell ref="F705:F709"/>
    <mergeCell ref="F710:F714"/>
    <mergeCell ref="F715:F719"/>
    <mergeCell ref="F720:F724"/>
    <mergeCell ref="F725:F729"/>
    <mergeCell ref="F730:F734"/>
    <mergeCell ref="F735:F739"/>
    <mergeCell ref="F740:F744"/>
    <mergeCell ref="F745:F749"/>
    <mergeCell ref="F750:F754"/>
    <mergeCell ref="F755:F759"/>
    <mergeCell ref="F760:F764"/>
    <mergeCell ref="F590:F594"/>
    <mergeCell ref="F595:F599"/>
    <mergeCell ref="F600:F604"/>
    <mergeCell ref="F605:F609"/>
    <mergeCell ref="F610:F614"/>
    <mergeCell ref="F615:F619"/>
    <mergeCell ref="F620:F624"/>
    <mergeCell ref="F625:F629"/>
    <mergeCell ref="F630:F634"/>
    <mergeCell ref="F635:F639"/>
    <mergeCell ref="F640:F644"/>
    <mergeCell ref="F645:F649"/>
    <mergeCell ref="F650:F654"/>
    <mergeCell ref="F655:F659"/>
    <mergeCell ref="F660:F664"/>
    <mergeCell ref="F665:F669"/>
    <mergeCell ref="F495:F499"/>
    <mergeCell ref="F500:F504"/>
    <mergeCell ref="F670:F674"/>
    <mergeCell ref="F505:F509"/>
    <mergeCell ref="F510:F514"/>
    <mergeCell ref="F515:F519"/>
    <mergeCell ref="F520:F524"/>
    <mergeCell ref="F525:F529"/>
    <mergeCell ref="F530:F534"/>
    <mergeCell ref="F535:F539"/>
    <mergeCell ref="F540:F544"/>
    <mergeCell ref="F545:F549"/>
    <mergeCell ref="F550:F554"/>
    <mergeCell ref="F555:F559"/>
    <mergeCell ref="F560:F564"/>
    <mergeCell ref="F565:F569"/>
    <mergeCell ref="F570:F574"/>
    <mergeCell ref="F575:F579"/>
    <mergeCell ref="F580:F584"/>
    <mergeCell ref="F585:F589"/>
    <mergeCell ref="F350:F354"/>
    <mergeCell ref="F355:F359"/>
    <mergeCell ref="F360:F364"/>
    <mergeCell ref="F365:F369"/>
    <mergeCell ref="F370:F374"/>
    <mergeCell ref="F375:F379"/>
    <mergeCell ref="F380:F384"/>
    <mergeCell ref="F385:F389"/>
    <mergeCell ref="F390:F394"/>
    <mergeCell ref="F395:F399"/>
    <mergeCell ref="F400:F404"/>
    <mergeCell ref="F405:F409"/>
    <mergeCell ref="F420:F424"/>
    <mergeCell ref="F475:F479"/>
    <mergeCell ref="F480:F484"/>
    <mergeCell ref="F485:F489"/>
    <mergeCell ref="F490:F494"/>
    <mergeCell ref="F105:F109"/>
    <mergeCell ref="F110:F114"/>
    <mergeCell ref="F115:F119"/>
    <mergeCell ref="F120:F124"/>
    <mergeCell ref="F125:F129"/>
    <mergeCell ref="F130:F134"/>
    <mergeCell ref="F135:F139"/>
    <mergeCell ref="F140:F144"/>
    <mergeCell ref="F145:F149"/>
    <mergeCell ref="F150:F154"/>
    <mergeCell ref="F155:F159"/>
    <mergeCell ref="F160:F164"/>
    <mergeCell ref="F165:F169"/>
    <mergeCell ref="F330:F334"/>
    <mergeCell ref="F335:F339"/>
    <mergeCell ref="F340:F344"/>
    <mergeCell ref="F345:F349"/>
    <mergeCell ref="F175:F179"/>
    <mergeCell ref="F180:F184"/>
    <mergeCell ref="F185:F189"/>
    <mergeCell ref="F190:F194"/>
    <mergeCell ref="F195:F199"/>
    <mergeCell ref="F200:F204"/>
    <mergeCell ref="F290:F294"/>
    <mergeCell ref="F295:F299"/>
    <mergeCell ref="F300:F304"/>
    <mergeCell ref="F20:F24"/>
    <mergeCell ref="F25:F29"/>
    <mergeCell ref="F30:F34"/>
    <mergeCell ref="F35:F39"/>
    <mergeCell ref="F40:F44"/>
    <mergeCell ref="F45:F49"/>
    <mergeCell ref="F50:F54"/>
    <mergeCell ref="F55:F59"/>
    <mergeCell ref="F60:F64"/>
    <mergeCell ref="F65:F69"/>
    <mergeCell ref="F70:F74"/>
    <mergeCell ref="F75:F79"/>
    <mergeCell ref="F80:F84"/>
    <mergeCell ref="F85:F89"/>
    <mergeCell ref="F90:F94"/>
    <mergeCell ref="F95:F99"/>
    <mergeCell ref="F100:F104"/>
    <mergeCell ref="L530:L604"/>
    <mergeCell ref="M530:M554"/>
    <mergeCell ref="N530:N534"/>
    <mergeCell ref="N535:N539"/>
    <mergeCell ref="N540:N544"/>
    <mergeCell ref="N545:N549"/>
    <mergeCell ref="N550:N554"/>
    <mergeCell ref="M555:M579"/>
    <mergeCell ref="N555:N559"/>
    <mergeCell ref="N560:N564"/>
    <mergeCell ref="N565:N569"/>
    <mergeCell ref="N570:N574"/>
    <mergeCell ref="N575:N579"/>
    <mergeCell ref="M580:M604"/>
    <mergeCell ref="N580:N584"/>
    <mergeCell ref="N585:N589"/>
    <mergeCell ref="N590:N594"/>
    <mergeCell ref="N595:N599"/>
    <mergeCell ref="N600:N604"/>
    <mergeCell ref="L455:L529"/>
    <mergeCell ref="M455:M479"/>
    <mergeCell ref="N455:N459"/>
    <mergeCell ref="N460:N464"/>
    <mergeCell ref="N465:N469"/>
    <mergeCell ref="N470:N474"/>
    <mergeCell ref="N475:N479"/>
    <mergeCell ref="M480:M504"/>
    <mergeCell ref="N480:N484"/>
    <mergeCell ref="N485:N489"/>
    <mergeCell ref="N490:N494"/>
    <mergeCell ref="N495:N499"/>
    <mergeCell ref="N500:N504"/>
    <mergeCell ref="M505:M529"/>
    <mergeCell ref="N505:N509"/>
    <mergeCell ref="N510:N514"/>
    <mergeCell ref="N515:N519"/>
    <mergeCell ref="N520:N524"/>
    <mergeCell ref="N525:N529"/>
    <mergeCell ref="N425:N429"/>
    <mergeCell ref="M430:M454"/>
    <mergeCell ref="N430:N434"/>
    <mergeCell ref="L380:L454"/>
    <mergeCell ref="M380:M404"/>
    <mergeCell ref="N380:N384"/>
    <mergeCell ref="N385:N389"/>
    <mergeCell ref="N390:N394"/>
    <mergeCell ref="N395:N399"/>
    <mergeCell ref="N400:N404"/>
    <mergeCell ref="M405:M429"/>
    <mergeCell ref="N405:N409"/>
    <mergeCell ref="N410:N414"/>
    <mergeCell ref="N415:N419"/>
    <mergeCell ref="N435:N439"/>
    <mergeCell ref="N420:N424"/>
    <mergeCell ref="N335:N339"/>
    <mergeCell ref="N340:N344"/>
    <mergeCell ref="N345:N349"/>
    <mergeCell ref="N350:N354"/>
    <mergeCell ref="M355:M379"/>
    <mergeCell ref="N355:N359"/>
    <mergeCell ref="N360:N364"/>
    <mergeCell ref="N365:N369"/>
    <mergeCell ref="N370:N374"/>
    <mergeCell ref="N375:N379"/>
    <mergeCell ref="N440:N444"/>
    <mergeCell ref="N445:N449"/>
    <mergeCell ref="N450:N454"/>
    <mergeCell ref="N310:N314"/>
    <mergeCell ref="N315:N319"/>
    <mergeCell ref="N320:N324"/>
    <mergeCell ref="N325:N329"/>
    <mergeCell ref="Q385:Q389"/>
    <mergeCell ref="Q390:Q394"/>
    <mergeCell ref="L305:L379"/>
    <mergeCell ref="M305:M329"/>
    <mergeCell ref="N305:N309"/>
    <mergeCell ref="M330:M354"/>
    <mergeCell ref="N330:N334"/>
    <mergeCell ref="N285:N289"/>
    <mergeCell ref="N290:N294"/>
    <mergeCell ref="N295:N299"/>
    <mergeCell ref="N300:N304"/>
    <mergeCell ref="N260:N264"/>
    <mergeCell ref="N265:N269"/>
    <mergeCell ref="N270:N274"/>
    <mergeCell ref="N275:N279"/>
    <mergeCell ref="L230:L304"/>
    <mergeCell ref="M230:M254"/>
    <mergeCell ref="N230:N234"/>
    <mergeCell ref="N235:N239"/>
    <mergeCell ref="N240:N244"/>
    <mergeCell ref="N245:N249"/>
    <mergeCell ref="N250:N254"/>
    <mergeCell ref="M255:M279"/>
    <mergeCell ref="N255:N259"/>
    <mergeCell ref="M280:M304"/>
    <mergeCell ref="N280:N284"/>
    <mergeCell ref="Q290:Q294"/>
    <mergeCell ref="Q295:Q299"/>
    <mergeCell ref="M205:M229"/>
    <mergeCell ref="N205:N209"/>
    <mergeCell ref="N210:N214"/>
    <mergeCell ref="N215:N219"/>
    <mergeCell ref="N220:N224"/>
    <mergeCell ref="N225:N229"/>
    <mergeCell ref="M130:M154"/>
    <mergeCell ref="N130:N134"/>
    <mergeCell ref="N135:N139"/>
    <mergeCell ref="N140:N144"/>
    <mergeCell ref="N145:N149"/>
    <mergeCell ref="N150:N154"/>
    <mergeCell ref="L155:L229"/>
    <mergeCell ref="M155:M179"/>
    <mergeCell ref="N155:N159"/>
    <mergeCell ref="N160:N164"/>
    <mergeCell ref="N165:N169"/>
    <mergeCell ref="N170:N174"/>
    <mergeCell ref="N175:N179"/>
    <mergeCell ref="M180:M204"/>
    <mergeCell ref="N180:N184"/>
    <mergeCell ref="L80:L154"/>
    <mergeCell ref="M80:M104"/>
    <mergeCell ref="N80:N84"/>
    <mergeCell ref="N85:N89"/>
    <mergeCell ref="N90:N94"/>
    <mergeCell ref="N95:N99"/>
    <mergeCell ref="N100:N104"/>
    <mergeCell ref="M105:M129"/>
    <mergeCell ref="N105:N109"/>
    <mergeCell ref="N185:N189"/>
    <mergeCell ref="N190:N194"/>
    <mergeCell ref="Q105:Q109"/>
    <mergeCell ref="N195:N199"/>
    <mergeCell ref="N200:N204"/>
    <mergeCell ref="Q130:Q134"/>
    <mergeCell ref="Q135:Q139"/>
    <mergeCell ref="Q140:Q144"/>
    <mergeCell ref="Q145:Q149"/>
    <mergeCell ref="Q150:Q154"/>
    <mergeCell ref="Q155:Q159"/>
    <mergeCell ref="Q160:Q164"/>
    <mergeCell ref="Q165:Q169"/>
    <mergeCell ref="Q170:Q174"/>
    <mergeCell ref="Q175:Q179"/>
    <mergeCell ref="Q180:Q184"/>
    <mergeCell ref="Q185:Q189"/>
    <mergeCell ref="Q190:Q194"/>
    <mergeCell ref="Q195:Q199"/>
    <mergeCell ref="Q200:Q204"/>
    <mergeCell ref="F5:F9"/>
    <mergeCell ref="F10:F14"/>
    <mergeCell ref="F15:F19"/>
    <mergeCell ref="T90:T94"/>
    <mergeCell ref="T95:T99"/>
    <mergeCell ref="T100:T104"/>
    <mergeCell ref="T105:T109"/>
    <mergeCell ref="T110:T114"/>
    <mergeCell ref="T115:T119"/>
    <mergeCell ref="T120:T124"/>
    <mergeCell ref="T125:T129"/>
    <mergeCell ref="M55:M79"/>
    <mergeCell ref="N55:N59"/>
    <mergeCell ref="N60:N64"/>
    <mergeCell ref="N65:N69"/>
    <mergeCell ref="N70:N74"/>
    <mergeCell ref="N75:N79"/>
    <mergeCell ref="N35:N39"/>
    <mergeCell ref="N40:N44"/>
    <mergeCell ref="N45:N49"/>
    <mergeCell ref="N50:N54"/>
    <mergeCell ref="N110:N114"/>
    <mergeCell ref="N115:N119"/>
    <mergeCell ref="N120:N124"/>
    <mergeCell ref="N125:N129"/>
    <mergeCell ref="Q110:Q114"/>
    <mergeCell ref="Q115:Q119"/>
    <mergeCell ref="Q120:Q124"/>
    <mergeCell ref="Q125:Q129"/>
    <mergeCell ref="Q90:Q94"/>
    <mergeCell ref="Q95:Q99"/>
    <mergeCell ref="Q100:Q104"/>
    <mergeCell ref="B180:B204"/>
    <mergeCell ref="C180:C184"/>
    <mergeCell ref="C220:C224"/>
    <mergeCell ref="C225:C229"/>
    <mergeCell ref="L5:L79"/>
    <mergeCell ref="M5:M29"/>
    <mergeCell ref="N5:N9"/>
    <mergeCell ref="N10:N14"/>
    <mergeCell ref="N15:N19"/>
    <mergeCell ref="N20:N24"/>
    <mergeCell ref="N25:N29"/>
    <mergeCell ref="M30:M54"/>
    <mergeCell ref="N30:N34"/>
    <mergeCell ref="A5:A79"/>
    <mergeCell ref="B5:B29"/>
    <mergeCell ref="C5:C9"/>
    <mergeCell ref="C10:C14"/>
    <mergeCell ref="C15:C19"/>
    <mergeCell ref="C20:C24"/>
    <mergeCell ref="C25:C29"/>
    <mergeCell ref="B30:B54"/>
    <mergeCell ref="C30:C34"/>
    <mergeCell ref="C35:C39"/>
    <mergeCell ref="C40:C44"/>
    <mergeCell ref="C45:C49"/>
    <mergeCell ref="C50:C54"/>
    <mergeCell ref="B55:B79"/>
    <mergeCell ref="C55:C59"/>
    <mergeCell ref="C75:C79"/>
    <mergeCell ref="C60:C64"/>
    <mergeCell ref="C65:C69"/>
    <mergeCell ref="C70:C74"/>
    <mergeCell ref="C110:C114"/>
    <mergeCell ref="C115:C119"/>
    <mergeCell ref="C85:C89"/>
    <mergeCell ref="C90:C94"/>
    <mergeCell ref="C95:C99"/>
    <mergeCell ref="I195:I199"/>
    <mergeCell ref="I200:I204"/>
    <mergeCell ref="I205:I209"/>
    <mergeCell ref="I210:I214"/>
    <mergeCell ref="I215:I219"/>
    <mergeCell ref="C80:C84"/>
    <mergeCell ref="C100:C104"/>
    <mergeCell ref="C120:C124"/>
    <mergeCell ref="C125:C129"/>
    <mergeCell ref="C105:C109"/>
    <mergeCell ref="A155:A229"/>
    <mergeCell ref="B155:B179"/>
    <mergeCell ref="C155:C159"/>
    <mergeCell ref="B205:B229"/>
    <mergeCell ref="C205:C209"/>
    <mergeCell ref="B130:B154"/>
    <mergeCell ref="C130:C134"/>
    <mergeCell ref="C135:C139"/>
    <mergeCell ref="C140:C144"/>
    <mergeCell ref="A80:A154"/>
    <mergeCell ref="B80:B104"/>
    <mergeCell ref="B105:B129"/>
    <mergeCell ref="C160:C164"/>
    <mergeCell ref="C165:C169"/>
    <mergeCell ref="C170:C174"/>
    <mergeCell ref="C145:C149"/>
    <mergeCell ref="C150:C154"/>
    <mergeCell ref="I150:I154"/>
    <mergeCell ref="I155:I159"/>
    <mergeCell ref="I160:I164"/>
    <mergeCell ref="I165:I169"/>
    <mergeCell ref="I170:I174"/>
    <mergeCell ref="I175:I179"/>
    <mergeCell ref="I180:I184"/>
    <mergeCell ref="I185:I189"/>
    <mergeCell ref="I190:I194"/>
    <mergeCell ref="C210:C214"/>
    <mergeCell ref="C215:C219"/>
    <mergeCell ref="C185:C189"/>
    <mergeCell ref="C190:C194"/>
    <mergeCell ref="C195:C199"/>
    <mergeCell ref="C200:C204"/>
    <mergeCell ref="F170:F174"/>
    <mergeCell ref="F205:F209"/>
    <mergeCell ref="F210:F214"/>
    <mergeCell ref="F215:F219"/>
    <mergeCell ref="C175:C179"/>
    <mergeCell ref="A230:A304"/>
    <mergeCell ref="B230:B254"/>
    <mergeCell ref="C230:C234"/>
    <mergeCell ref="C235:C239"/>
    <mergeCell ref="C240:C244"/>
    <mergeCell ref="C245:C249"/>
    <mergeCell ref="C250:C254"/>
    <mergeCell ref="B255:B279"/>
    <mergeCell ref="C255:C259"/>
    <mergeCell ref="C260:C264"/>
    <mergeCell ref="C265:C269"/>
    <mergeCell ref="C270:C274"/>
    <mergeCell ref="C275:C279"/>
    <mergeCell ref="B280:B304"/>
    <mergeCell ref="C280:C284"/>
    <mergeCell ref="C285:C289"/>
    <mergeCell ref="C290:C294"/>
    <mergeCell ref="C295:C299"/>
    <mergeCell ref="C300:C304"/>
    <mergeCell ref="C310:C314"/>
    <mergeCell ref="C315:C319"/>
    <mergeCell ref="C320:C324"/>
    <mergeCell ref="C305:C309"/>
    <mergeCell ref="C325:C329"/>
    <mergeCell ref="C330:C334"/>
    <mergeCell ref="C335:C339"/>
    <mergeCell ref="C340:C344"/>
    <mergeCell ref="C345:C349"/>
    <mergeCell ref="F220:F224"/>
    <mergeCell ref="F225:F229"/>
    <mergeCell ref="F230:F234"/>
    <mergeCell ref="F235:F239"/>
    <mergeCell ref="F240:F244"/>
    <mergeCell ref="F245:F249"/>
    <mergeCell ref="F250:F254"/>
    <mergeCell ref="F255:F259"/>
    <mergeCell ref="F260:F264"/>
    <mergeCell ref="F265:F269"/>
    <mergeCell ref="F270:F274"/>
    <mergeCell ref="F275:F279"/>
    <mergeCell ref="F280:F284"/>
    <mergeCell ref="F285:F289"/>
    <mergeCell ref="F325:F329"/>
    <mergeCell ref="C350:C354"/>
    <mergeCell ref="F305:F309"/>
    <mergeCell ref="F310:F314"/>
    <mergeCell ref="F315:F319"/>
    <mergeCell ref="F320:F324"/>
    <mergeCell ref="B355:B379"/>
    <mergeCell ref="C355:C359"/>
    <mergeCell ref="B330:B354"/>
    <mergeCell ref="C360:C364"/>
    <mergeCell ref="C365:C369"/>
    <mergeCell ref="C370:C374"/>
    <mergeCell ref="C375:C379"/>
    <mergeCell ref="A380:A454"/>
    <mergeCell ref="B380:B404"/>
    <mergeCell ref="C380:C384"/>
    <mergeCell ref="A305:A379"/>
    <mergeCell ref="B305:B329"/>
    <mergeCell ref="C385:C389"/>
    <mergeCell ref="C390:C394"/>
    <mergeCell ref="C395:C399"/>
    <mergeCell ref="C400:C404"/>
    <mergeCell ref="B405:B429"/>
    <mergeCell ref="C405:C409"/>
    <mergeCell ref="C410:C414"/>
    <mergeCell ref="C415:C419"/>
    <mergeCell ref="C420:C424"/>
    <mergeCell ref="C425:C429"/>
    <mergeCell ref="B430:B454"/>
    <mergeCell ref="C430:C434"/>
    <mergeCell ref="C435:C439"/>
    <mergeCell ref="C440:C444"/>
    <mergeCell ref="C445:C449"/>
    <mergeCell ref="C450:C454"/>
    <mergeCell ref="F410:F414"/>
    <mergeCell ref="F415:F419"/>
    <mergeCell ref="A455:A529"/>
    <mergeCell ref="B455:B479"/>
    <mergeCell ref="C455:C459"/>
    <mergeCell ref="C515:C519"/>
    <mergeCell ref="C520:C524"/>
    <mergeCell ref="C525:C529"/>
    <mergeCell ref="C460:C464"/>
    <mergeCell ref="C465:C469"/>
    <mergeCell ref="C470:C474"/>
    <mergeCell ref="C475:C479"/>
    <mergeCell ref="B480:B504"/>
    <mergeCell ref="C480:C484"/>
    <mergeCell ref="C485:C489"/>
    <mergeCell ref="C490:C494"/>
    <mergeCell ref="C495:C499"/>
    <mergeCell ref="C500:C504"/>
    <mergeCell ref="B505:B529"/>
    <mergeCell ref="C505:C509"/>
    <mergeCell ref="C510:C514"/>
    <mergeCell ref="F425:F429"/>
    <mergeCell ref="F430:F434"/>
    <mergeCell ref="F435:F439"/>
    <mergeCell ref="F440:F444"/>
    <mergeCell ref="F445:F449"/>
    <mergeCell ref="F450:F454"/>
    <mergeCell ref="F455:F459"/>
    <mergeCell ref="F460:F464"/>
    <mergeCell ref="F465:F469"/>
    <mergeCell ref="F470:F474"/>
    <mergeCell ref="B530:B554"/>
    <mergeCell ref="C530:C534"/>
    <mergeCell ref="C550:C554"/>
    <mergeCell ref="B555:B579"/>
    <mergeCell ref="C570:C574"/>
    <mergeCell ref="C575:C579"/>
    <mergeCell ref="B580:B604"/>
    <mergeCell ref="C580:C584"/>
    <mergeCell ref="C555:C559"/>
    <mergeCell ref="C560:C564"/>
    <mergeCell ref="C565:C569"/>
    <mergeCell ref="C585:C589"/>
    <mergeCell ref="C590:C594"/>
    <mergeCell ref="C595:C599"/>
    <mergeCell ref="C600:C604"/>
    <mergeCell ref="C535:C539"/>
    <mergeCell ref="C540:C544"/>
    <mergeCell ref="C545:C549"/>
    <mergeCell ref="I475:I479"/>
    <mergeCell ref="I480:I484"/>
    <mergeCell ref="I485:I489"/>
    <mergeCell ref="I490:I494"/>
    <mergeCell ref="I495:I499"/>
    <mergeCell ref="I500:I504"/>
    <mergeCell ref="I505:I509"/>
    <mergeCell ref="I510:I514"/>
    <mergeCell ref="I515:I519"/>
    <mergeCell ref="I520:I524"/>
    <mergeCell ref="I525:I529"/>
    <mergeCell ref="A605:A679"/>
    <mergeCell ref="B605:B629"/>
    <mergeCell ref="C605:C609"/>
    <mergeCell ref="C675:C679"/>
    <mergeCell ref="C610:C614"/>
    <mergeCell ref="C615:C619"/>
    <mergeCell ref="C620:C624"/>
    <mergeCell ref="C625:C629"/>
    <mergeCell ref="B630:B654"/>
    <mergeCell ref="C630:C634"/>
    <mergeCell ref="C635:C639"/>
    <mergeCell ref="C640:C644"/>
    <mergeCell ref="C645:C649"/>
    <mergeCell ref="C650:C654"/>
    <mergeCell ref="B655:B679"/>
    <mergeCell ref="C655:C659"/>
    <mergeCell ref="C660:C664"/>
    <mergeCell ref="C665:C669"/>
    <mergeCell ref="C670:C674"/>
    <mergeCell ref="F675:F679"/>
    <mergeCell ref="A530:A604"/>
    <mergeCell ref="C685:C689"/>
    <mergeCell ref="C690:C694"/>
    <mergeCell ref="C695:C699"/>
    <mergeCell ref="C700:C704"/>
    <mergeCell ref="A680:A754"/>
    <mergeCell ref="B680:B704"/>
    <mergeCell ref="C680:C684"/>
    <mergeCell ref="B705:B729"/>
    <mergeCell ref="C705:C709"/>
    <mergeCell ref="C710:C714"/>
    <mergeCell ref="C715:C719"/>
    <mergeCell ref="C720:C724"/>
    <mergeCell ref="C725:C729"/>
    <mergeCell ref="B730:B754"/>
    <mergeCell ref="C730:C734"/>
    <mergeCell ref="C735:C739"/>
    <mergeCell ref="C740:C744"/>
    <mergeCell ref="C745:C749"/>
    <mergeCell ref="C750:C754"/>
    <mergeCell ref="A830:A904"/>
    <mergeCell ref="B830:B854"/>
    <mergeCell ref="C830:C834"/>
    <mergeCell ref="A755:A829"/>
    <mergeCell ref="B805:B829"/>
    <mergeCell ref="C850:C854"/>
    <mergeCell ref="B855:B879"/>
    <mergeCell ref="C855:C859"/>
    <mergeCell ref="C895:C899"/>
    <mergeCell ref="C900:C904"/>
    <mergeCell ref="B880:B904"/>
    <mergeCell ref="C835:C839"/>
    <mergeCell ref="C840:C844"/>
    <mergeCell ref="C845:C849"/>
    <mergeCell ref="C890:C894"/>
    <mergeCell ref="C860:C864"/>
    <mergeCell ref="C865:C869"/>
    <mergeCell ref="C870:C874"/>
    <mergeCell ref="C875:C879"/>
    <mergeCell ref="C880:C884"/>
    <mergeCell ref="C885:C889"/>
    <mergeCell ref="C760:C764"/>
    <mergeCell ref="C765:C769"/>
    <mergeCell ref="C770:C774"/>
    <mergeCell ref="C775:C779"/>
    <mergeCell ref="B780:B804"/>
    <mergeCell ref="C780:C784"/>
    <mergeCell ref="C785:C789"/>
    <mergeCell ref="B755:B779"/>
    <mergeCell ref="C755:C759"/>
    <mergeCell ref="C790:C794"/>
    <mergeCell ref="C795:C799"/>
    <mergeCell ref="C805:C809"/>
    <mergeCell ref="C810:C814"/>
    <mergeCell ref="C815:C819"/>
    <mergeCell ref="C820:C824"/>
    <mergeCell ref="C825:C829"/>
    <mergeCell ref="F805:F809"/>
    <mergeCell ref="F810:F814"/>
    <mergeCell ref="F815:F819"/>
    <mergeCell ref="F820:F824"/>
    <mergeCell ref="F825:F829"/>
    <mergeCell ref="C800:C804"/>
    <mergeCell ref="F765:F769"/>
    <mergeCell ref="F770:F774"/>
    <mergeCell ref="F775:F779"/>
    <mergeCell ref="F780:F784"/>
    <mergeCell ref="F785:F789"/>
    <mergeCell ref="F790:F794"/>
    <mergeCell ref="F795:F799"/>
    <mergeCell ref="F800:F80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INTESTINAL VILLI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8.1</dc:creator>
  <cp:lastModifiedBy>muchlisin zaenal abidin</cp:lastModifiedBy>
  <dcterms:created xsi:type="dcterms:W3CDTF">2018-09-13T07:12:29Z</dcterms:created>
  <dcterms:modified xsi:type="dcterms:W3CDTF">2020-05-08T03:43:14Z</dcterms:modified>
</cp:coreProperties>
</file>